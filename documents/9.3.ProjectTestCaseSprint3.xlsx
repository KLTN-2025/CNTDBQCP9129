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25974010-6E95-4DC4-B573-CFC316BF35AA}" xr6:coauthVersionLast="47" xr6:coauthVersionMax="47" xr10:uidLastSave="{00000000-0000-0000-0000-000000000000}"/>
  <bookViews>
    <workbookView xWindow="-108" yWindow="-108" windowWidth="23256" windowHeight="12576" tabRatio="810" xr2:uid="{00000000-000D-0000-FFFF-FFFF00000000}"/>
  </bookViews>
  <sheets>
    <sheet name="Trường hợp kiểm thử" sheetId="1" r:id="rId1"/>
    <sheet name="Thanh toán Vnpay " sheetId="32" r:id="rId2"/>
    <sheet name="Báo cáo kiểm tra" sheetId="10" state="hidden" r:id="rId3"/>
    <sheet name="ChatBox" sheetId="4" r:id="rId4"/>
    <sheet name="Thanh toán COD" sheetId="31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2" l="1"/>
  <c r="F4" i="32"/>
  <c r="D10" i="1"/>
  <c r="F5" i="4"/>
  <c r="F4" i="4"/>
  <c r="F5" i="31" l="1"/>
  <c r="F4" i="31"/>
  <c r="C21" i="10" l="1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<sst xmlns="http://schemas.openxmlformats.org/spreadsheetml/2006/main" count="700" uniqueCount="253">
  <si>
    <t>TEST CASE SYSTEM SPRINT 3</t>
  </si>
  <si>
    <t>Tên dự án</t>
  </si>
  <si>
    <t>STT</t>
  </si>
  <si>
    <t>Chức năng</t>
  </si>
  <si>
    <t>Sheet Name</t>
  </si>
  <si>
    <t>Mô tả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</si>
  <si>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</si>
  <si>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</si>
  <si>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</si>
  <si>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</si>
  <si>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</si>
  <si>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</si>
  <si>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</si>
  <si>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</si>
  <si>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</si>
  <si>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</si>
  <si>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</si>
  <si>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</si>
  <si>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</si>
  <si>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</si>
  <si>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</si>
  <si>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</si>
  <si>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</si>
  <si>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</si>
  <si>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</si>
  <si>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Đăng nhập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</si>
  <si>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</si>
  <si>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</si>
  <si>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</si>
  <si>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</si>
  <si>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</si>
  <si>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</si>
  <si>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</si>
  <si>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</si>
  <si>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</si>
  <si>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</si>
  <si>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</si>
  <si>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</si>
  <si>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</si>
  <si>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</si>
  <si>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</si>
  <si>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</si>
  <si>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Module Code</t>
  </si>
  <si>
    <t>Chưa kiểm tra</t>
  </si>
  <si>
    <t>Round 1</t>
  </si>
  <si>
    <t>Round 2</t>
  </si>
  <si>
    <t>Test Case ID</t>
  </si>
  <si>
    <t>Quy trình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</si>
  <si>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</si>
  <si>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</si>
  <si>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</si>
  <si>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</si>
  <si>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</si>
  <si>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</si>
  <si>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</si>
  <si>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Passed</t>
  </si>
  <si>
    <t>Tổng lần kiểm tra</t>
  </si>
  <si>
    <t>Điều kiện tiên quyết</t>
  </si>
  <si>
    <t>Đăng nhập thành công vào hệ thống</t>
  </si>
  <si>
    <t>GUI-QLTCV02</t>
  </si>
  <si>
    <t xml:space="preserve"> -Label : black
 -Status : enable</t>
  </si>
  <si>
    <t>GUI-QLTCV03</t>
  </si>
  <si>
    <t>GUI-QLTCV04</t>
  </si>
  <si>
    <t>GUI-QLTCV05</t>
  </si>
  <si>
    <t xml:space="preserve"> -Text color : black
 -Status : enable
 -Background : secondary</t>
  </si>
  <si>
    <t>FUNC-QLTCV01</t>
  </si>
  <si>
    <t>FUNC-QLTCV02</t>
  </si>
  <si>
    <t>FUNC-QLTCV03</t>
  </si>
  <si>
    <t>FUNC-QLTCV04</t>
  </si>
  <si>
    <t>FUNC-QLTCV05</t>
  </si>
  <si>
    <t>FUNC-QLTCV06</t>
  </si>
  <si>
    <t>ChatBox</t>
  </si>
  <si>
    <t>Thanh toán</t>
  </si>
  <si>
    <t>Dũng</t>
  </si>
  <si>
    <t>Số lượng test</t>
  </si>
  <si>
    <t>Chatbox</t>
  </si>
  <si>
    <t>GUI_SHOW ChatBox</t>
  </si>
  <si>
    <t>GUI-FILTER01</t>
  </si>
  <si>
    <t>Giao diện khung chat</t>
  </si>
  <si>
    <t xml:space="preserve">	Khung chat hiển thị rõ ràng, viền đều, bo góc đẹp</t>
  </si>
  <si>
    <t>GUI-FILTER02</t>
  </si>
  <si>
    <t>Hiển thị tên bot và tiêu đề</t>
  </si>
  <si>
    <t xml:space="preserve">	Hiển thị "Perfume Bot" + nút đóng (X)</t>
  </si>
  <si>
    <t>GUI-FILTER03</t>
  </si>
  <si>
    <t>Tin nhắn chào mừng</t>
  </si>
  <si>
    <t>Hiển thị tin nhắn "Welcome to Myperfume!..."</t>
  </si>
  <si>
    <t>GUI-FILTER04</t>
  </si>
  <si>
    <t xml:space="preserve">	Ô nhập câu hỏi</t>
  </si>
  <si>
    <t>Có placeholder "Nhập câu hỏi của bạn..."</t>
  </si>
  <si>
    <t>GUI-FILTER05</t>
  </si>
  <si>
    <t>Nút gửi tin nhắn</t>
  </si>
  <si>
    <t xml:space="preserve">	Nút "Gửi" có màu xanh lá, nổi bật, có thể click</t>
  </si>
  <si>
    <t>Text: Black; trạng thái Enable</t>
  </si>
  <si>
    <t>GUI-FILTER06</t>
  </si>
  <si>
    <t>Nút giọng nói</t>
  </si>
  <si>
    <t>Nút "giọng nói" có viền, căn lề chuẩn</t>
  </si>
  <si>
    <t>FUNCTION_SHOW ChatBox</t>
  </si>
  <si>
    <t>FUNC-CHAT01</t>
  </si>
  <si>
    <t>Gửi câu hỏi hợp lệ</t>
  </si>
  <si>
    <t>1.Nhấn chọn vào ô chat
2.Nhập câu hỏi hợp lệ
3.Nhấn gửi</t>
  </si>
  <si>
    <t>Chatbot đã mở và đang sẵn sàng</t>
  </si>
  <si>
    <t xml:space="preserve">
Chatbox phản hồi đúng nội dung câu hỏi</t>
  </si>
  <si>
    <t>FUNC-CHAT02</t>
  </si>
  <si>
    <t>Gửi câu hỏi rỗng</t>
  </si>
  <si>
    <t>1.Nhấn chọn vào ô chat
2.Không nhập nội dung
3.Nhấn gửi</t>
  </si>
  <si>
    <t>Chatbot đã mở</t>
  </si>
  <si>
    <t>Không thể nhấn nút gửi</t>
  </si>
  <si>
    <t>FUNC-CHAT03</t>
  </si>
  <si>
    <t>Hỏi ngoài phạm vi hỗ trợ</t>
  </si>
  <si>
    <t>1.Nhấn chọn vào ô chat
2.Nhập nội dung không thuộc chuyên môn
3.Nhấn gửi</t>
  </si>
  <si>
    <t>Chatbox phản hồi tôi không thể hỗ trợ</t>
  </si>
  <si>
    <t>Chatbox phản hồi được câu hỏi</t>
  </si>
  <si>
    <t>Failed</t>
  </si>
  <si>
    <t>FUNC-CHAT04</t>
  </si>
  <si>
    <t>Hỏi với nội dung không rõ ràng</t>
  </si>
  <si>
    <t>1.Nhấn chọn vào ô chat
2.Nhập nội "abdbdg"
3.Nhấn gửi</t>
  </si>
  <si>
    <t xml:space="preserve">Chatbox phản hồi tôi không hiểu ý bạn </t>
  </si>
  <si>
    <t>FUNC-CHAT05</t>
  </si>
  <si>
    <t>Đóng khung chat</t>
  </si>
  <si>
    <t>1. Nhấn dấu "x"</t>
  </si>
  <si>
    <t>Chatbot đang mở</t>
  </si>
  <si>
    <t xml:space="preserve">Khung chat đóng lại </t>
  </si>
  <si>
    <t>FUNC-CHAT06</t>
  </si>
  <si>
    <t>Mở lại chat sau khi đóng</t>
  </si>
  <si>
    <t>1. Nhấn vào biểu tượng chat</t>
  </si>
  <si>
    <t>Đã đóng khung chat trước đó</t>
  </si>
  <si>
    <t xml:space="preserve">Khung chat mở lại, không mất tin nhắn cũ </t>
  </si>
  <si>
    <t>FUNC-CHAT07</t>
  </si>
  <si>
    <t>Gửi bằng giọng nói</t>
  </si>
  <si>
    <t>1.Nhấn vào ô chat
2.Nhấn nút "giọng nói", đọc</t>
  </si>
  <si>
    <t xml:space="preserve">Thiết bị hỗ trợ mic + voice </t>
  </si>
  <si>
    <t>Bot chuyển voice thành text và trả lời phù hợp</t>
  </si>
  <si>
    <t>Thanh toán COD</t>
  </si>
  <si>
    <t>[Thông tin đơn hàng] Lable</t>
  </si>
  <si>
    <t>[Số tiền thanh toán] Lable</t>
  </si>
  <si>
    <t>[Giá trị đơn hàng] Lable</t>
  </si>
  <si>
    <t>[Phí giao dịch] Lable</t>
  </si>
  <si>
    <t>[Mã đơn hàng] Lable</t>
  </si>
  <si>
    <t>[Nhà cung cấp] Lable</t>
  </si>
  <si>
    <t>[Thnah toán qua ngân hàng NCB] Lable</t>
  </si>
  <si>
    <t>[Thẻ nội địa] Lable</t>
  </si>
  <si>
    <t>[Số thẻ] Textbox</t>
  </si>
  <si>
    <t>[Tên chủ thẻ] Datatime</t>
  </si>
  <si>
    <t>[mã khuyến mãi] Link</t>
  </si>
  <si>
    <t>[Điều kiện sử dụng giỏ hàng] link</t>
  </si>
  <si>
    <t>[Hủy đơn hàng] Button</t>
  </si>
  <si>
    <t>[Tiếp tục] Button</t>
  </si>
  <si>
    <t xml:space="preserve"> -Label : black
 -Background - colo :white
 -Status : enable</t>
  </si>
  <si>
    <t xml:space="preserve"> -Label : black
-Background - colo : blue
 -Status : enable</t>
  </si>
  <si>
    <t>GUI-TTVP01</t>
  </si>
  <si>
    <t>GUI-TTVP02</t>
  </si>
  <si>
    <t>GUI-TTVP03</t>
  </si>
  <si>
    <t>GUI-TTVP04</t>
  </si>
  <si>
    <t>GUI-TTVP05</t>
  </si>
  <si>
    <t>GUI-TTVP06</t>
  </si>
  <si>
    <t>GUI-TTVP07</t>
  </si>
  <si>
    <t>GUI-TTVP08</t>
  </si>
  <si>
    <t>GUI-TTVP09</t>
  </si>
  <si>
    <t>GUI-TTVP10</t>
  </si>
  <si>
    <t>GUI-TTVP11</t>
  </si>
  <si>
    <t>GUI-TTVP12</t>
  </si>
  <si>
    <t>GUI-TTVP13</t>
  </si>
  <si>
    <t>GUI-TTVP14</t>
  </si>
  <si>
    <t>Thanh toán thành công</t>
  </si>
  <si>
    <t>Thanh toán thành công với thông tin đúng số thẻ ,đúng tên chủ thẻ,đúng ngày phát hành,dúng mã OPT</t>
  </si>
  <si>
    <t>Thanh toán thất bại khi để trông thông tin số thẻ</t>
  </si>
  <si>
    <t xml:space="preserve">Thanh toán thất bại </t>
  </si>
  <si>
    <t>Thanh toán thất bại khi để trông thông tin tên chủ thẻ</t>
  </si>
  <si>
    <t>Thanh toán thất bại khi để trông thông tin ngày phát hành</t>
  </si>
  <si>
    <t>Thanh toán thất bại khi để trông OTP</t>
  </si>
  <si>
    <t>Thanh toán thất bại khi điền thông số thẻ không đúng định dạng(chứa chữ abc..)</t>
  </si>
  <si>
    <t>Thanh toán thất bại khi điền thông số thẻ quá ngắn (123)</t>
  </si>
  <si>
    <t xml:space="preserve">Thanh toán thất bại khi điền thông mã khuyến mãi không hợp lệ </t>
  </si>
  <si>
    <t>FUNC-QLTCV07</t>
  </si>
  <si>
    <t>FUNC-QLTCV08</t>
  </si>
  <si>
    <t>FUNC-QLTCV09</t>
  </si>
  <si>
    <t>Thanh toán thất bại khi điền thông chủ thẻ viết thường</t>
  </si>
  <si>
    <t xml:space="preserve">Thanh toán thất bại khi điền thôngchủ thẻ có dấu </t>
  </si>
  <si>
    <t>Thanh toán thất bại khi để trống tất cả các trường</t>
  </si>
  <si>
    <t>Thanh toán thất bại khi nhấn nút hủy thanh toán và xác nhận hủy thì quay lại trang trước</t>
  </si>
  <si>
    <t>Thanh toán thất bại khi thời gian hết hạn</t>
  </si>
  <si>
    <t>FUNC-TTVP01</t>
  </si>
  <si>
    <t>FUNC-TTVP02</t>
  </si>
  <si>
    <t>FUNC-TTVP03</t>
  </si>
  <si>
    <t>FUNC-TTVP04</t>
  </si>
  <si>
    <t>FUNC-TTVP05</t>
  </si>
  <si>
    <t>FUNC-TTVP06</t>
  </si>
  <si>
    <t>FUNC-TTVP07</t>
  </si>
  <si>
    <t>FUNC-TTVP08</t>
  </si>
  <si>
    <t>FUNC-TTVP09</t>
  </si>
  <si>
    <t>FUNC-TTVP10</t>
  </si>
  <si>
    <t>FUNC-TTVP11</t>
  </si>
  <si>
    <t>FUNC-TTVP12</t>
  </si>
  <si>
    <t>FUNC-TTVP13</t>
  </si>
  <si>
    <t>[Giỏ hàng] Lable</t>
  </si>
  <si>
    <t>[Mã khuyến mãi] Textbox</t>
  </si>
  <si>
    <t>[Áp mã] Button</t>
  </si>
  <si>
    <t>[Tỉnh thành] Textbox</t>
  </si>
  <si>
    <t>[Quận huyện] Textbox</t>
  </si>
  <si>
    <t>[Phường xã] Tẽtbox</t>
  </si>
  <si>
    <t>[Xác nhận dặt hàng]</t>
  </si>
  <si>
    <t>[Xóa] Button</t>
  </si>
  <si>
    <t>[Thanh toán momo] Button</t>
  </si>
  <si>
    <t>[Thanh toán VPpay] Button</t>
  </si>
  <si>
    <t>[Xóa tất cả ] Button</t>
  </si>
  <si>
    <t xml:space="preserve"> -Label : while
 -Background-colo : yelloư
 -Status : enable</t>
  </si>
  <si>
    <t>[Tính phí vẫn chuyển ] Button</t>
  </si>
  <si>
    <t xml:space="preserve"> -Text color : while
 -Status : enable
 -Background : green</t>
  </si>
  <si>
    <t xml:space="preserve"> -Text color : while
 -Status : enable
 -Background-colo: red</t>
  </si>
  <si>
    <t>Đặt hàng thành công khi Chọn đúng tỉnh – quận – phường, sản phẩm có trong giỏ hàng</t>
  </si>
  <si>
    <t xml:space="preserve">Đặt hàng thành công </t>
  </si>
  <si>
    <t>1. Truy cập vào trang web
2. nhập thông tin
3. Nhấn xác nhận đặt hàng</t>
  </si>
  <si>
    <t>Đặt hàng thành công khi Không nhập mã khuyến mãi</t>
  </si>
  <si>
    <t xml:space="preserve">Đặt hàng thành công khi Nhập mã khuyến mãi hợp lệ → hệ thống áp dụng mã </t>
  </si>
  <si>
    <t>Đặt hàng thành công Số lượng sản phẩm là 1</t>
  </si>
  <si>
    <t>Đặt hàng thành công Nhấn "Tính phí vận chuyển" sau khi chọn đúng tỉnh – quận – phường → hệ thống cập nhật phí ship</t>
  </si>
  <si>
    <t>1. Truy cập vào trang web
2. nhập thông tin
3.Nhán tính phí vận chuyển 
4. Nhấn xác nhận đặt hàng</t>
  </si>
  <si>
    <t>Đăng nhập thất bại khi Không chọn tỉnh thành</t>
  </si>
  <si>
    <t xml:space="preserve">Nút xác nhận đặt hàng không chọn được </t>
  </si>
  <si>
    <t xml:space="preserve">Đăng hàng thất bại khi Chọn tỉnh thành nhưng không chọn quận huyện </t>
  </si>
  <si>
    <t>Đăng hàng thất bại khi  Chọn tỉnh và quận nhưng không chọn phường xã</t>
  </si>
  <si>
    <t>Đăng nhập thất bại khi Chưa nhấn "Tính phí vận chuyển"</t>
  </si>
  <si>
    <t>GUI_SHOW Thanh toán COD</t>
  </si>
  <si>
    <t>FUNCTION_SHOW Thanh toán COD</t>
  </si>
  <si>
    <t>GUI-QLTCV01</t>
  </si>
  <si>
    <t>GUI-QLTCV06</t>
  </si>
  <si>
    <t>GUI-QLTCV07</t>
  </si>
  <si>
    <t>GUI-QLTCV08</t>
  </si>
  <si>
    <t>GUI-QLTCV09</t>
  </si>
  <si>
    <t>GUI-QLTCV10</t>
  </si>
  <si>
    <t>GUI-QLTCV11</t>
  </si>
  <si>
    <t>GUI-QLTCV12</t>
  </si>
  <si>
    <t>Thanh toán MoMo</t>
  </si>
  <si>
    <t>Thanh toán Vnpay</t>
  </si>
  <si>
    <t>GUI_SHOW Xem Thanh toán Vnpay</t>
  </si>
  <si>
    <t>Thanh toán thất bại khi nhập sai OTP</t>
  </si>
  <si>
    <t>FUNC-TTVP14</t>
  </si>
  <si>
    <t>FUNCTION_SHOW Thanh toán Vnpay</t>
  </si>
  <si>
    <t>1. Truy cập vào trang web
2. Nhấn nút Thanh toán Vnpay
3. Nhập thông tin 
4. Nhấn nút tiếp tục</t>
  </si>
  <si>
    <t>1. Truy cập vào trang web
2. Nhấn nút Thanh toán Vnpay
3. Nhập thông tin 
4. Để trống thông tin số thẻ 
5. Nhấn nút tiếp tục</t>
  </si>
  <si>
    <t>1. Truy cập vào trang web
2. Nhấn nút Thanh toán Vnpay
3. Nhập thông tin 
4. Để trống thông tin tên chủ thẻ  
5. Nhấn nút tiếp tục</t>
  </si>
  <si>
    <t>1. Truy cập vào trang web
2. Nhấn nút Thanh toán Vnpay
3. Nhập thông tin 
4. Để trống thông tin ngày phát hành
5. Nhấn nút tiếp tục</t>
  </si>
  <si>
    <t>1. Truy cập vào trang web
2. Nhấn nút Thanh toán Vnpay
3. Nhập thông tin 
4. Để trống OTP
5. Nhấn nút tiếp tục</t>
  </si>
  <si>
    <t>1. Truy cập vào trang web
2. Nhấn nút Thanh toán Vnpay
3. Nhập thông tin 
4. Nhập OTP sai
5. Nhấn nút tiếp tục</t>
  </si>
  <si>
    <t>1. Truy cập vào trang web
2. Nhấn nút Thanh toán Vnpay
3. Nhập thông tin 
4. nhập thông số thẻ ko đúng 
5. Nhấn nút tiếp tục</t>
  </si>
  <si>
    <t>1. Truy cập vào trang web
2. Nhấn nút Thanh toán Vnpay
3. Nhập thông tin 
4. nhập mã khuyến mãi  
5. Nhấn nút tiếp tục</t>
  </si>
  <si>
    <t>1. Truy cập vào trang web
2. Nhấn nút Thanh toán Vnpay
3. Nhập thông tin 
4. Nhập tên chủ thẻ
5. Nhấn nút tiếp tục</t>
  </si>
  <si>
    <t>1. Truy cập vào trang web
2. Nhấn nút Thanh toán Vnpay
3. Nhập thông tin 
4. nhập thông chủ thẻ 
5. Nhấn nút tiếp tục</t>
  </si>
  <si>
    <t>1. Truy cập vào trang web
2. Nhấn nút Thanh toán Vnpay
3. Để trống tất cả các trường
4. Nhấn nút tiếp tục</t>
  </si>
  <si>
    <t>1. Truy cập vào trang web
2. Nhấn nút Thanh toán Vnpay
3. Nhấn nút hủy thanh toán
4. Nhấn Xác nhận hủy</t>
  </si>
  <si>
    <t xml:space="preserve">1. Truy cập vào trang web
2. Nhấn nút Thanh toán Vnpay
</t>
  </si>
  <si>
    <t>Hệ thống báo lỗi hết thời gian</t>
  </si>
  <si>
    <t>CoffeeGo-Nền tảng đặt bàn quán cà phê tích hợp AI Assistant và thanh toán điện tử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</si>
</sst>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31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b/>
      <sz val="18"/>
      <name val="Times New Roman"/>
      <family val="1"/>
    </font>
    <font>
      <b/>
      <sz val="16"/>
      <color indexed="9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b/>
      <sz val="12"/>
      <color theme="1"/>
      <name val="Times New Roman"/>
      <family val="1"/>
    </font>
    <font>
      <b/>
      <sz val="13"/>
      <color theme="0"/>
      <name val="Times New Roman"/>
      <family val="1"/>
    </font>
    <font>
      <b/>
      <sz val="12"/>
      <color theme="0"/>
      <name val="Times New Roman"/>
      <family val="1"/>
    </font>
    <font>
      <b/>
      <sz val="13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rgb="FF000000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theme="0"/>
      <name val="Times New Roman"/>
      <family val="1"/>
    </font>
    <font>
      <b/>
      <sz val="15"/>
      <color theme="1"/>
      <name val="Times New Roman"/>
      <family val="1"/>
    </font>
    <font>
      <b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0"/>
        <bgColor indexed="41"/>
      </patternFill>
    </fill>
  </fills>
  <borders count="45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  <xf numFmtId="0" fontId="3" fillId="0" borderId="0"/>
    <xf numFmtId="0" fontId="27" fillId="0" borderId="0" applyNumberFormat="0" applyFill="0" applyBorder="0" applyAlignment="0" applyProtection="0"/>
  </cellStyleXfs>
  <cellXfs count="168">
    <xf numFmtId="0" fontId="0" fillId="0" borderId="0" xfId="0"/>
    <xf numFmtId="0" fontId="8" fillId="0" borderId="0" xfId="1" applyFont="1" applyBorder="1" applyProtection="1">
      <alignment vertical="center"/>
    </xf>
    <xf numFmtId="0" fontId="9" fillId="0" borderId="0" xfId="1" applyFont="1" applyBorder="1" applyAlignment="1" applyProtection="1"/>
    <xf numFmtId="0" fontId="8" fillId="0" borderId="0" xfId="1" applyFont="1" applyBorder="1" applyAlignment="1" applyProtection="1"/>
    <xf numFmtId="164" fontId="8" fillId="0" borderId="0" xfId="1" applyNumberFormat="1" applyFont="1" applyBorder="1" applyAlignment="1" applyProtection="1"/>
    <xf numFmtId="0" fontId="11" fillId="0" borderId="0" xfId="1" applyFont="1" applyBorder="1" applyProtection="1">
      <alignment vertical="center"/>
    </xf>
    <xf numFmtId="0" fontId="8" fillId="3" borderId="0" xfId="1" applyFont="1" applyFill="1" applyBorder="1" applyProtection="1">
      <alignment vertical="center"/>
    </xf>
    <xf numFmtId="0" fontId="10" fillId="0" borderId="0" xfId="0" applyFont="1"/>
    <xf numFmtId="0" fontId="6" fillId="0" borderId="0" xfId="0" applyFont="1"/>
    <xf numFmtId="0" fontId="5" fillId="0" borderId="12" xfId="1" applyFont="1" applyBorder="1" applyAlignment="1" applyProtection="1">
      <alignment horizontal="center"/>
    </xf>
    <xf numFmtId="165" fontId="5" fillId="0" borderId="12" xfId="2" applyNumberFormat="1" applyFont="1" applyBorder="1" applyAlignment="1" applyProtection="1">
      <alignment horizontal="center"/>
    </xf>
    <xf numFmtId="1" fontId="5" fillId="0" borderId="12" xfId="2" applyNumberFormat="1" applyFont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/>
    </xf>
    <xf numFmtId="0" fontId="4" fillId="3" borderId="3" xfId="1" applyFont="1" applyFill="1" applyBorder="1" applyAlignment="1" applyProtection="1"/>
    <xf numFmtId="0" fontId="12" fillId="3" borderId="4" xfId="1" applyFont="1" applyFill="1" applyBorder="1" applyAlignment="1" applyProtection="1">
      <alignment horizontal="center"/>
    </xf>
    <xf numFmtId="0" fontId="19" fillId="3" borderId="5" xfId="1" applyFont="1" applyFill="1" applyBorder="1" applyAlignment="1" applyProtection="1">
      <alignment horizontal="center"/>
    </xf>
    <xf numFmtId="0" fontId="19" fillId="3" borderId="0" xfId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9" fontId="19" fillId="3" borderId="0" xfId="2" applyFont="1" applyFill="1" applyBorder="1" applyAlignment="1" applyProtection="1">
      <alignment horizontal="center"/>
    </xf>
    <xf numFmtId="0" fontId="5" fillId="0" borderId="0" xfId="1" applyFont="1" applyBorder="1" applyAlignment="1" applyProtection="1"/>
    <xf numFmtId="0" fontId="12" fillId="0" borderId="6" xfId="1" applyFont="1" applyBorder="1" applyAlignment="1" applyProtection="1">
      <alignment horizontal="left"/>
    </xf>
    <xf numFmtId="0" fontId="5" fillId="0" borderId="7" xfId="1" applyFont="1" applyBorder="1" applyAlignment="1" applyProtection="1"/>
    <xf numFmtId="0" fontId="5" fillId="0" borderId="6" xfId="1" applyFont="1" applyBorder="1" applyAlignment="1" applyProtection="1"/>
    <xf numFmtId="2" fontId="12" fillId="0" borderId="2" xfId="1" applyNumberFormat="1" applyFont="1" applyBorder="1" applyAlignment="1" applyProtection="1">
      <alignment horizontal="right" wrapText="1"/>
    </xf>
    <xf numFmtId="0" fontId="5" fillId="0" borderId="0" xfId="1" applyFont="1" applyBorder="1" applyProtection="1">
      <alignment vertical="center"/>
    </xf>
    <xf numFmtId="0" fontId="5" fillId="0" borderId="0" xfId="1" applyFont="1" applyBorder="1" applyAlignment="1" applyProtection="1">
      <alignment horizontal="center" wrapText="1"/>
    </xf>
    <xf numFmtId="0" fontId="12" fillId="0" borderId="8" xfId="1" applyFont="1" applyBorder="1" applyAlignment="1" applyProtection="1">
      <alignment horizontal="left"/>
    </xf>
    <xf numFmtId="0" fontId="5" fillId="0" borderId="9" xfId="1" applyFont="1" applyBorder="1" applyAlignment="1" applyProtection="1"/>
    <xf numFmtId="0" fontId="5" fillId="0" borderId="10" xfId="1" applyFont="1" applyBorder="1" applyAlignment="1" applyProtection="1"/>
    <xf numFmtId="2" fontId="12" fillId="0" borderId="11" xfId="1" applyNumberFormat="1" applyFont="1" applyBorder="1" applyAlignment="1" applyProtection="1">
      <alignment horizontal="right" wrapText="1"/>
    </xf>
    <xf numFmtId="9" fontId="19" fillId="3" borderId="13" xfId="2" applyFont="1" applyFill="1" applyBorder="1" applyAlignment="1" applyProtection="1">
      <alignment horizontal="center"/>
    </xf>
    <xf numFmtId="0" fontId="5" fillId="0" borderId="13" xfId="1" applyFont="1" applyBorder="1" applyAlignment="1" applyProtection="1">
      <alignment horizontal="center" wrapText="1"/>
    </xf>
    <xf numFmtId="0" fontId="6" fillId="0" borderId="12" xfId="0" applyFont="1" applyBorder="1" applyAlignment="1">
      <alignment horizontal="center"/>
    </xf>
    <xf numFmtId="0" fontId="12" fillId="9" borderId="0" xfId="0" applyFont="1" applyFill="1" applyAlignment="1">
      <alignment vertical="center"/>
    </xf>
    <xf numFmtId="0" fontId="5" fillId="2" borderId="12" xfId="1" applyFont="1" applyFill="1" applyBorder="1" applyAlignment="1" applyProtection="1">
      <alignment horizontal="center"/>
    </xf>
    <xf numFmtId="0" fontId="4" fillId="2" borderId="12" xfId="1" applyFont="1" applyFill="1" applyBorder="1" applyAlignment="1" applyProtection="1"/>
    <xf numFmtId="165" fontId="4" fillId="2" borderId="12" xfId="1" applyNumberFormat="1" applyFont="1" applyFill="1" applyBorder="1" applyAlignment="1" applyProtection="1">
      <alignment horizontal="center"/>
    </xf>
    <xf numFmtId="0" fontId="6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5" xfId="1" applyFont="1" applyBorder="1" applyAlignment="1" applyProtection="1">
      <alignment horizontal="center" wrapText="1"/>
    </xf>
    <xf numFmtId="0" fontId="14" fillId="2" borderId="18" xfId="0" applyFont="1" applyFill="1" applyBorder="1" applyAlignment="1">
      <alignment horizontal="center" vertical="center"/>
    </xf>
    <xf numFmtId="0" fontId="5" fillId="0" borderId="17" xfId="1" applyFont="1" applyBorder="1" applyAlignment="1" applyProtection="1"/>
    <xf numFmtId="0" fontId="5" fillId="0" borderId="17" xfId="1" applyFont="1" applyBorder="1" applyProtection="1">
      <alignment vertical="center"/>
    </xf>
    <xf numFmtId="0" fontId="5" fillId="0" borderId="17" xfId="1" applyFont="1" applyBorder="1" applyAlignment="1" applyProtection="1">
      <alignment horizontal="center" wrapText="1"/>
    </xf>
    <xf numFmtId="0" fontId="6" fillId="3" borderId="12" xfId="3" applyFont="1" applyFill="1" applyBorder="1" applyAlignment="1">
      <alignment horizontal="left" vertical="center" wrapText="1"/>
    </xf>
    <xf numFmtId="0" fontId="14" fillId="2" borderId="22" xfId="0" applyFont="1" applyFill="1" applyBorder="1" applyAlignment="1">
      <alignment horizontal="center" vertical="center"/>
    </xf>
    <xf numFmtId="0" fontId="12" fillId="0" borderId="26" xfId="1" applyFont="1" applyBorder="1" applyAlignment="1" applyProtection="1">
      <alignment horizontal="center" vertical="center"/>
    </xf>
    <xf numFmtId="0" fontId="12" fillId="0" borderId="26" xfId="1" applyFont="1" applyBorder="1" applyAlignment="1" applyProtection="1">
      <alignment horizontal="center"/>
    </xf>
    <xf numFmtId="0" fontId="12" fillId="0" borderId="26" xfId="1" applyFont="1" applyBorder="1" applyAlignment="1" applyProtection="1">
      <alignment horizontal="center" vertical="top"/>
    </xf>
    <xf numFmtId="0" fontId="6" fillId="0" borderId="26" xfId="0" applyFont="1" applyBorder="1" applyAlignment="1">
      <alignment horizontal="center"/>
    </xf>
    <xf numFmtId="0" fontId="12" fillId="0" borderId="22" xfId="1" applyFont="1" applyBorder="1" applyProtection="1">
      <alignment vertical="center"/>
    </xf>
    <xf numFmtId="0" fontId="17" fillId="0" borderId="22" xfId="1" applyFont="1" applyBorder="1" applyAlignment="1" applyProtection="1">
      <alignment vertical="top" wrapText="1"/>
    </xf>
    <xf numFmtId="0" fontId="5" fillId="0" borderId="22" xfId="1" applyFont="1" applyBorder="1" applyAlignment="1" applyProtection="1">
      <alignment wrapText="1"/>
    </xf>
    <xf numFmtId="0" fontId="12" fillId="0" borderId="30" xfId="1" applyFont="1" applyBorder="1" applyProtection="1">
      <alignment vertical="center"/>
    </xf>
    <xf numFmtId="0" fontId="17" fillId="0" borderId="30" xfId="1" applyFont="1" applyBorder="1" applyAlignment="1" applyProtection="1">
      <alignment vertical="top" wrapText="1"/>
    </xf>
    <xf numFmtId="0" fontId="12" fillId="0" borderId="30" xfId="1" applyFont="1" applyBorder="1" applyAlignment="1" applyProtection="1"/>
    <xf numFmtId="0" fontId="18" fillId="0" borderId="30" xfId="1" applyFont="1" applyBorder="1" applyAlignment="1" applyProtection="1"/>
    <xf numFmtId="0" fontId="4" fillId="2" borderId="30" xfId="1" applyFont="1" applyFill="1" applyBorder="1" applyAlignment="1" applyProtection="1">
      <alignment horizontal="center" vertical="center"/>
    </xf>
    <xf numFmtId="0" fontId="4" fillId="2" borderId="30" xfId="1" applyFont="1" applyFill="1" applyBorder="1" applyAlignment="1" applyProtection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6" xfId="0" applyFont="1" applyBorder="1" applyAlignment="1">
      <alignment vertical="center" wrapText="1"/>
    </xf>
    <xf numFmtId="0" fontId="5" fillId="0" borderId="30" xfId="1" applyFont="1" applyBorder="1" applyAlignment="1" applyProtection="1">
      <alignment horizontal="center"/>
    </xf>
    <xf numFmtId="165" fontId="5" fillId="0" borderId="30" xfId="2" applyNumberFormat="1" applyFont="1" applyBorder="1" applyAlignment="1" applyProtection="1">
      <alignment horizontal="center"/>
    </xf>
    <xf numFmtId="1" fontId="5" fillId="0" borderId="30" xfId="2" applyNumberFormat="1" applyFont="1" applyBorder="1" applyAlignment="1" applyProtection="1">
      <alignment horizontal="center"/>
    </xf>
    <xf numFmtId="0" fontId="15" fillId="0" borderId="22" xfId="0" applyFont="1" applyBorder="1" applyAlignment="1">
      <alignment horizontal="center"/>
    </xf>
    <xf numFmtId="0" fontId="15" fillId="0" borderId="22" xfId="0" applyFont="1" applyBorder="1" applyAlignment="1">
      <alignment vertical="center" wrapText="1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top" wrapText="1"/>
    </xf>
    <xf numFmtId="0" fontId="22" fillId="8" borderId="12" xfId="0" applyFont="1" applyFill="1" applyBorder="1" applyAlignment="1">
      <alignment horizontal="center" vertical="center"/>
    </xf>
    <xf numFmtId="164" fontId="22" fillId="8" borderId="12" xfId="0" applyNumberFormat="1" applyFont="1" applyFill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21" fillId="5" borderId="12" xfId="0" applyFont="1" applyFill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21" fillId="5" borderId="12" xfId="0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vertical="center"/>
    </xf>
    <xf numFmtId="0" fontId="5" fillId="0" borderId="12" xfId="4" applyFont="1" applyBorder="1" applyAlignment="1">
      <alignment horizontal="center" vertical="center" wrapText="1"/>
    </xf>
    <xf numFmtId="0" fontId="25" fillId="3" borderId="12" xfId="3" applyFont="1" applyFill="1" applyBorder="1" applyAlignment="1">
      <alignment horizontal="left" vertical="center" wrapText="1"/>
    </xf>
    <xf numFmtId="0" fontId="0" fillId="0" borderId="12" xfId="0" applyBorder="1"/>
    <xf numFmtId="0" fontId="6" fillId="0" borderId="12" xfId="0" applyFont="1" applyBorder="1" applyAlignment="1">
      <alignment vertical="center" wrapText="1"/>
    </xf>
    <xf numFmtId="0" fontId="0" fillId="0" borderId="0" xfId="0" applyAlignment="1">
      <alignment wrapText="1"/>
    </xf>
    <xf numFmtId="14" fontId="25" fillId="3" borderId="12" xfId="3" applyNumberFormat="1" applyFont="1" applyFill="1" applyBorder="1" applyAlignment="1">
      <alignment horizontal="center" vertical="center" wrapText="1"/>
    </xf>
    <xf numFmtId="0" fontId="25" fillId="3" borderId="12" xfId="3" applyFont="1" applyFill="1" applyBorder="1" applyAlignment="1">
      <alignment horizontal="center" vertical="center" wrapText="1"/>
    </xf>
    <xf numFmtId="0" fontId="6" fillId="0" borderId="12" xfId="4" applyFont="1" applyBorder="1" applyAlignment="1">
      <alignment horizontal="center" vertical="center" wrapText="1"/>
    </xf>
    <xf numFmtId="164" fontId="21" fillId="8" borderId="12" xfId="0" applyNumberFormat="1" applyFont="1" applyFill="1" applyBorder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12" xfId="4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12" xfId="0" applyFont="1" applyBorder="1" applyAlignment="1">
      <alignment horizontal="right"/>
    </xf>
    <xf numFmtId="0" fontId="6" fillId="0" borderId="12" xfId="0" applyFont="1" applyBorder="1" applyAlignment="1">
      <alignment horizontal="right" vertical="center"/>
    </xf>
    <xf numFmtId="0" fontId="30" fillId="0" borderId="1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left" vertical="center"/>
    </xf>
    <xf numFmtId="0" fontId="16" fillId="4" borderId="17" xfId="0" applyFont="1" applyFill="1" applyBorder="1" applyAlignment="1">
      <alignment horizontal="left" vertical="center"/>
    </xf>
    <xf numFmtId="0" fontId="16" fillId="4" borderId="15" xfId="0" applyFont="1" applyFill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22" fillId="8" borderId="12" xfId="0" applyFont="1" applyFill="1" applyBorder="1" applyAlignment="1">
      <alignment horizontal="center" vertical="center"/>
    </xf>
    <xf numFmtId="0" fontId="22" fillId="8" borderId="12" xfId="0" applyFont="1" applyFill="1" applyBorder="1" applyAlignment="1">
      <alignment horizontal="center" vertical="center" wrapText="1"/>
    </xf>
    <xf numFmtId="0" fontId="22" fillId="8" borderId="12" xfId="0" applyFont="1" applyFill="1" applyBorder="1" applyAlignment="1">
      <alignment horizontal="left" vertical="center" wrapText="1"/>
    </xf>
    <xf numFmtId="0" fontId="23" fillId="7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0" fillId="6" borderId="32" xfId="0" applyFont="1" applyFill="1" applyBorder="1" applyAlignment="1">
      <alignment horizontal="left" vertical="center"/>
    </xf>
    <xf numFmtId="0" fontId="20" fillId="6" borderId="33" xfId="0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left" vertical="center"/>
    </xf>
    <xf numFmtId="0" fontId="6" fillId="0" borderId="26" xfId="0" applyFont="1" applyBorder="1" applyAlignment="1">
      <alignment horizontal="center"/>
    </xf>
    <xf numFmtId="0" fontId="12" fillId="0" borderId="26" xfId="1" applyFont="1" applyBorder="1" applyAlignment="1" applyProtection="1">
      <alignment horizontal="left"/>
    </xf>
    <xf numFmtId="0" fontId="12" fillId="0" borderId="27" xfId="1" applyFont="1" applyBorder="1" applyAlignment="1" applyProtection="1">
      <alignment horizontal="center" vertical="top"/>
    </xf>
    <xf numFmtId="0" fontId="12" fillId="0" borderId="28" xfId="1" applyFont="1" applyBorder="1" applyAlignment="1" applyProtection="1">
      <alignment horizontal="center" vertical="top"/>
    </xf>
    <xf numFmtId="0" fontId="12" fillId="0" borderId="29" xfId="1" applyFont="1" applyBorder="1" applyAlignment="1" applyProtection="1">
      <alignment horizontal="center" vertical="top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7" fillId="0" borderId="0" xfId="1" applyFont="1" applyBorder="1" applyAlignment="1" applyProtection="1">
      <alignment horizontal="center"/>
    </xf>
    <xf numFmtId="0" fontId="12" fillId="0" borderId="26" xfId="1" applyFont="1" applyBorder="1" applyAlignment="1" applyProtection="1">
      <alignment horizontal="center"/>
    </xf>
    <xf numFmtId="164" fontId="12" fillId="0" borderId="30" xfId="1" applyNumberFormat="1" applyFont="1" applyBorder="1" applyAlignment="1" applyProtection="1">
      <alignment horizontal="center" vertical="center"/>
    </xf>
    <xf numFmtId="0" fontId="12" fillId="0" borderId="30" xfId="1" applyFont="1" applyBorder="1" applyAlignment="1" applyProtection="1">
      <alignment horizontal="center" vertical="center" wrapText="1"/>
    </xf>
    <xf numFmtId="0" fontId="17" fillId="0" borderId="22" xfId="1" applyFont="1" applyBorder="1" applyAlignment="1" applyProtection="1">
      <alignment vertical="top" wrapText="1"/>
    </xf>
    <xf numFmtId="0" fontId="12" fillId="0" borderId="30" xfId="1" applyFont="1" applyBorder="1" applyAlignment="1" applyProtection="1">
      <alignment horizontal="center" vertical="center"/>
    </xf>
    <xf numFmtId="15" fontId="6" fillId="0" borderId="27" xfId="0" applyNumberFormat="1" applyFont="1" applyBorder="1" applyAlignment="1">
      <alignment horizontal="center"/>
    </xf>
    <xf numFmtId="15" fontId="6" fillId="0" borderId="28" xfId="0" applyNumberFormat="1" applyFont="1" applyBorder="1" applyAlignment="1">
      <alignment horizontal="center"/>
    </xf>
    <xf numFmtId="15" fontId="6" fillId="0" borderId="29" xfId="0" applyNumberFormat="1" applyFont="1" applyBorder="1" applyAlignment="1">
      <alignment horizontal="center"/>
    </xf>
    <xf numFmtId="0" fontId="16" fillId="6" borderId="35" xfId="0" applyFont="1" applyFill="1" applyBorder="1" applyAlignment="1">
      <alignment horizontal="left" vertical="center"/>
    </xf>
    <xf numFmtId="0" fontId="16" fillId="6" borderId="36" xfId="0" applyFont="1" applyFill="1" applyBorder="1" applyAlignment="1">
      <alignment horizontal="left" vertical="center"/>
    </xf>
    <xf numFmtId="0" fontId="16" fillId="6" borderId="37" xfId="0" applyFont="1" applyFill="1" applyBorder="1" applyAlignment="1">
      <alignment horizontal="left" vertical="center"/>
    </xf>
    <xf numFmtId="0" fontId="21" fillId="8" borderId="12" xfId="0" applyFont="1" applyFill="1" applyBorder="1" applyAlignment="1">
      <alignment horizontal="left" vertical="center"/>
    </xf>
    <xf numFmtId="0" fontId="21" fillId="7" borderId="12" xfId="0" applyFont="1" applyFill="1" applyBorder="1" applyAlignment="1">
      <alignment horizontal="left" vertical="center"/>
    </xf>
    <xf numFmtId="0" fontId="28" fillId="7" borderId="12" xfId="0" applyFont="1" applyFill="1" applyBorder="1" applyAlignment="1">
      <alignment horizontal="left" vertical="center"/>
    </xf>
    <xf numFmtId="0" fontId="21" fillId="8" borderId="39" xfId="0" applyFont="1" applyFill="1" applyBorder="1" applyAlignment="1">
      <alignment horizontal="left" vertical="center"/>
    </xf>
    <xf numFmtId="0" fontId="21" fillId="8" borderId="14" xfId="0" applyFont="1" applyFill="1" applyBorder="1" applyAlignment="1">
      <alignment horizontal="left" vertical="center"/>
    </xf>
    <xf numFmtId="0" fontId="21" fillId="8" borderId="40" xfId="0" applyFont="1" applyFill="1" applyBorder="1" applyAlignment="1">
      <alignment horizontal="left" vertical="center"/>
    </xf>
    <xf numFmtId="0" fontId="21" fillId="8" borderId="12" xfId="0" applyFont="1" applyFill="1" applyBorder="1" applyAlignment="1">
      <alignment horizontal="left" vertical="center" wrapText="1"/>
    </xf>
    <xf numFmtId="0" fontId="16" fillId="4" borderId="42" xfId="0" applyFont="1" applyFill="1" applyBorder="1" applyAlignment="1">
      <alignment horizontal="left" vertical="center"/>
    </xf>
    <xf numFmtId="0" fontId="16" fillId="4" borderId="43" xfId="0" applyFont="1" applyFill="1" applyBorder="1" applyAlignment="1">
      <alignment horizontal="left" vertical="center"/>
    </xf>
    <xf numFmtId="0" fontId="16" fillId="6" borderId="32" xfId="0" applyFont="1" applyFill="1" applyBorder="1" applyAlignment="1">
      <alignment horizontal="left" vertical="center"/>
    </xf>
    <xf numFmtId="0" fontId="21" fillId="8" borderId="12" xfId="0" applyFont="1" applyFill="1" applyBorder="1" applyAlignment="1">
      <alignment horizontal="center" vertical="center"/>
    </xf>
    <xf numFmtId="0" fontId="21" fillId="8" borderId="12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/>
    </xf>
    <xf numFmtId="0" fontId="16" fillId="6" borderId="33" xfId="0" applyFont="1" applyFill="1" applyBorder="1" applyAlignment="1">
      <alignment horizontal="left" vertical="center"/>
    </xf>
    <xf numFmtId="0" fontId="16" fillId="6" borderId="34" xfId="0" applyFont="1" applyFill="1" applyBorder="1" applyAlignment="1">
      <alignment horizontal="left" vertical="center"/>
    </xf>
    <xf numFmtId="0" fontId="12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</cellXfs>
  <cellStyles count="5">
    <cellStyle name="Hyperlink" xfId="4" builtinId="8"/>
    <cellStyle name="Normal" xfId="0" builtinId="0"/>
    <cellStyle name="Normal 10" xfId="1" xr:uid="{00000000-0005-0000-0000-000001000000}"/>
    <cellStyle name="Normal_Sheet1" xfId="3" xr:uid="{00000000-0005-0000-0000-000002000000}"/>
    <cellStyle name="Percent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101600</xdr:colOff>
      <xdr:row>0</xdr:row>
      <xdr:rowOff>0</xdr:rowOff>
    </xdr:from>
    <xdr:to>
      <xdr:col>14</xdr:col>
      <xdr:colOff>474131</xdr:colOff>
      <xdr:row>25</xdr:row>
      <xdr:rowOff>56635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F452D2-8840-4A1E-A7DC-FF756EF1E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6600" y="0"/>
          <a:ext cx="6786484" cy="4944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36286</xdr:colOff>
      <xdr:row>0</xdr:row>
      <xdr:rowOff>45359</xdr:rowOff>
    </xdr:from>
    <xdr:to>
      <xdr:col>9</xdr:col>
      <xdr:colOff>707242</xdr:colOff>
      <xdr:row>21</xdr:row>
      <xdr:rowOff>83129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7927DC-9CF5-487C-BF40-9DE8544DD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2541" y="45359"/>
          <a:ext cx="3954483" cy="39586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DoAnBaoVe2018/DoAnNam2018/BUSMAP-PROJECT/6.%20Testing/Test%20Case/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70" zoomScaleNormal="70" workbookViewId="0">
      <selection activeCell="B3" sqref="B3:D4"/>
    </sheetView>
  </sheetViews>
  <sheetFormatPr defaultColWidth="9.109375" defaultRowHeight="16.8"/>
  <cols>
    <col min="1" max="1" width="14.5546875" style="8" bestFit="1" customWidth="1"/>
    <col min="2" max="2" width="50.88671875" style="8" bestFit="1" customWidth="1"/>
    <col min="3" max="3" width="32.5546875" style="8" bestFit="1" customWidth="1"/>
    <col min="4" max="4" width="27.88671875" style="8" customWidth="1"/>
    <col min="5" max="5" width="21.109375" style="8" customWidth="1"/>
    <col min="6" max="16384" width="9.109375" style="8"/>
  </cols>
  <sheetData>
    <row r="1" spans="1:5">
      <c r="A1" s="103" t="s">
        <v>0</v>
      </c>
      <c r="B1" s="103"/>
      <c r="C1" s="103"/>
      <c r="D1" s="103"/>
    </row>
    <row r="2" spans="1:5">
      <c r="A2" s="103"/>
      <c r="B2" s="103"/>
      <c r="C2" s="103"/>
      <c r="D2" s="103"/>
    </row>
    <row r="3" spans="1:5" ht="20.399999999999999" customHeight="1">
      <c r="A3" s="46" t="s">
        <v>1</v>
      </c>
      <c r="B3" s="162" t="s">
        <v>252</v>
      </c>
      <c r="C3" s="163"/>
      <c r="D3" s="164"/>
    </row>
    <row r="4" spans="1:5" ht="20.399999999999999" customHeight="1">
      <c r="A4" s="41"/>
      <c r="B4" s="165"/>
      <c r="C4" s="166"/>
      <c r="D4" s="167"/>
    </row>
    <row r="5" spans="1:5" ht="20.399999999999999">
      <c r="A5" s="46" t="s">
        <v>2</v>
      </c>
      <c r="B5" s="46" t="s">
        <v>3</v>
      </c>
      <c r="C5" s="46" t="s">
        <v>4</v>
      </c>
      <c r="D5" s="46" t="s">
        <v>74</v>
      </c>
      <c r="E5" s="46" t="s">
        <v>5</v>
      </c>
    </row>
    <row r="6" spans="1:5">
      <c r="A6" s="38">
        <v>1</v>
      </c>
      <c r="B6" s="39" t="s">
        <v>71</v>
      </c>
      <c r="C6" s="82" t="s">
        <v>75</v>
      </c>
      <c r="D6" s="101">
        <v>13</v>
      </c>
      <c r="E6" s="38"/>
    </row>
    <row r="7" spans="1:5">
      <c r="A7" s="104">
        <v>2</v>
      </c>
      <c r="B7" s="107" t="s">
        <v>72</v>
      </c>
      <c r="C7" s="89" t="s">
        <v>232</v>
      </c>
      <c r="D7" s="101">
        <v>26</v>
      </c>
      <c r="E7" s="38"/>
    </row>
    <row r="8" spans="1:5">
      <c r="A8" s="105"/>
      <c r="B8" s="108"/>
      <c r="C8" s="99" t="s">
        <v>233</v>
      </c>
      <c r="D8" s="101">
        <v>27</v>
      </c>
      <c r="E8" s="38"/>
    </row>
    <row r="9" spans="1:5">
      <c r="A9" s="106"/>
      <c r="B9" s="109"/>
      <c r="C9" s="99" t="s">
        <v>132</v>
      </c>
      <c r="D9" s="102">
        <v>21</v>
      </c>
      <c r="E9" s="38"/>
    </row>
    <row r="10" spans="1:5">
      <c r="D10" s="8">
        <f>SUM(D6:D9)</f>
        <v>87</v>
      </c>
    </row>
  </sheetData>
  <mergeCells count="4">
    <mergeCell ref="A1:D2"/>
    <mergeCell ref="B3:D4"/>
    <mergeCell ref="A7:A9"/>
    <mergeCell ref="B7:B9"/>
  </mergeCells>
  <hyperlinks>
    <hyperlink ref="C6" location="'Báo cáo , thống kê'!A1" display="Báo cáo, thống kê" xr:uid="{24F18BC6-896C-47B7-8071-D77DC82F0232}"/>
    <hyperlink ref="C7" location="'Thanh toán momo'!A1" display="Thanh toán momo" xr:uid="{1525B183-D034-4371-B216-94873BB9F2BB}"/>
    <hyperlink ref="C8" location="'thanh toán Vnpay '!A1" display="Thanh toán Vnpay" xr:uid="{F9FE06CA-A5BA-452E-B9D0-BCBE39547374}"/>
    <hyperlink ref="C9" location="'thanh toán COD'!A1" display="Thanh toán COD" xr:uid="{7B357F54-831D-4626-A1ED-5B279E968131}"/>
  </hyperlink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C379-8C3A-4258-8D87-6CFFEFEDD5C7}">
  <dimension ref="A1:N60"/>
  <sheetViews>
    <sheetView zoomScale="70" zoomScaleNormal="70" workbookViewId="0">
      <selection activeCell="C12" sqref="C12"/>
    </sheetView>
  </sheetViews>
  <sheetFormatPr defaultRowHeight="14.4"/>
  <cols>
    <col min="1" max="1" width="24.33203125" style="92" customWidth="1"/>
    <col min="2" max="2" width="43.5546875" customWidth="1"/>
    <col min="3" max="3" width="35" customWidth="1"/>
    <col min="4" max="4" width="36.77734375" style="86" customWidth="1"/>
    <col min="5" max="5" width="34.88671875" style="98" customWidth="1"/>
    <col min="6" max="6" width="33.21875" customWidth="1"/>
    <col min="7" max="7" width="16.44140625" customWidth="1"/>
    <col min="8" max="8" width="15.5546875" customWidth="1"/>
    <col min="11" max="11" width="17.21875" customWidth="1"/>
  </cols>
  <sheetData>
    <row r="1" spans="1:6" ht="16.8">
      <c r="A1" s="79"/>
      <c r="B1" s="113" t="s">
        <v>252</v>
      </c>
      <c r="C1" s="113"/>
      <c r="D1" s="113"/>
      <c r="E1" s="113"/>
      <c r="F1" s="113"/>
    </row>
    <row r="2" spans="1:6" ht="16.8">
      <c r="A2" s="79" t="s">
        <v>42</v>
      </c>
      <c r="B2" s="114" t="s">
        <v>233</v>
      </c>
      <c r="C2" s="114"/>
      <c r="D2" s="114"/>
      <c r="E2" s="114"/>
      <c r="F2" s="114"/>
    </row>
    <row r="3" spans="1:6" ht="36" customHeight="1">
      <c r="A3" s="37"/>
      <c r="B3" s="79" t="s">
        <v>15</v>
      </c>
      <c r="C3" s="79" t="s">
        <v>16</v>
      </c>
      <c r="D3" s="80" t="s">
        <v>43</v>
      </c>
      <c r="E3" s="97" t="s">
        <v>18</v>
      </c>
      <c r="F3" s="79" t="s">
        <v>56</v>
      </c>
    </row>
    <row r="4" spans="1:6" ht="16.8">
      <c r="A4" s="95" t="s">
        <v>44</v>
      </c>
      <c r="B4" s="78">
        <v>27</v>
      </c>
      <c r="C4" s="78">
        <v>0</v>
      </c>
      <c r="D4" s="85">
        <v>0</v>
      </c>
      <c r="E4" s="74">
        <v>0</v>
      </c>
      <c r="F4" s="78">
        <f>B4</f>
        <v>27</v>
      </c>
    </row>
    <row r="5" spans="1:6" ht="16.8">
      <c r="A5" s="95" t="s">
        <v>45</v>
      </c>
      <c r="B5" s="78">
        <v>13</v>
      </c>
      <c r="C5" s="78">
        <v>0</v>
      </c>
      <c r="D5" s="85">
        <v>0</v>
      </c>
      <c r="E5" s="74">
        <v>0</v>
      </c>
      <c r="F5" s="78">
        <f>B5</f>
        <v>13</v>
      </c>
    </row>
    <row r="27" spans="1:13" ht="17.399999999999999">
      <c r="A27" s="115" t="s">
        <v>46</v>
      </c>
      <c r="B27" s="115" t="s">
        <v>5</v>
      </c>
      <c r="C27" s="115" t="s">
        <v>47</v>
      </c>
      <c r="D27" s="116" t="s">
        <v>57</v>
      </c>
      <c r="E27" s="117" t="s">
        <v>48</v>
      </c>
      <c r="F27" s="115" t="s">
        <v>49</v>
      </c>
      <c r="G27" s="118" t="s">
        <v>50</v>
      </c>
      <c r="H27" s="118"/>
      <c r="I27" s="118"/>
      <c r="J27" s="118"/>
      <c r="K27" s="118"/>
      <c r="L27" s="118"/>
      <c r="M27" s="119" t="s">
        <v>51</v>
      </c>
    </row>
    <row r="28" spans="1:13" ht="17.399999999999999">
      <c r="A28" s="115"/>
      <c r="B28" s="115"/>
      <c r="C28" s="115"/>
      <c r="D28" s="116"/>
      <c r="E28" s="117"/>
      <c r="F28" s="115"/>
      <c r="G28" s="118" t="s">
        <v>23</v>
      </c>
      <c r="H28" s="118"/>
      <c r="I28" s="118"/>
      <c r="J28" s="118" t="s">
        <v>24</v>
      </c>
      <c r="K28" s="118"/>
      <c r="L28" s="118"/>
      <c r="M28" s="120"/>
    </row>
    <row r="29" spans="1:13" ht="15.6">
      <c r="A29" s="115"/>
      <c r="B29" s="115"/>
      <c r="C29" s="115"/>
      <c r="D29" s="116"/>
      <c r="E29" s="117"/>
      <c r="F29" s="115"/>
      <c r="G29" s="71" t="s">
        <v>52</v>
      </c>
      <c r="H29" s="72" t="s">
        <v>53</v>
      </c>
      <c r="I29" s="71" t="s">
        <v>54</v>
      </c>
      <c r="J29" s="71" t="s">
        <v>52</v>
      </c>
      <c r="K29" s="71" t="s">
        <v>53</v>
      </c>
      <c r="L29" s="71" t="s">
        <v>54</v>
      </c>
      <c r="M29" s="120"/>
    </row>
    <row r="30" spans="1:13" ht="15.6">
      <c r="A30" s="121" t="s">
        <v>234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3"/>
    </row>
    <row r="31" spans="1:13" ht="33.6">
      <c r="A31" s="88" t="s">
        <v>149</v>
      </c>
      <c r="B31" s="83" t="s">
        <v>133</v>
      </c>
      <c r="C31" s="83"/>
      <c r="D31" s="83" t="s">
        <v>58</v>
      </c>
      <c r="E31" s="69" t="s">
        <v>60</v>
      </c>
      <c r="F31" s="69" t="s">
        <v>60</v>
      </c>
      <c r="G31" s="37" t="s">
        <v>55</v>
      </c>
      <c r="H31" s="87">
        <v>45787</v>
      </c>
      <c r="I31" s="88" t="s">
        <v>73</v>
      </c>
      <c r="J31" s="37" t="s">
        <v>55</v>
      </c>
      <c r="K31" s="83"/>
      <c r="L31" s="83"/>
      <c r="M31" s="83"/>
    </row>
    <row r="32" spans="1:13" ht="33.6">
      <c r="A32" s="88" t="s">
        <v>150</v>
      </c>
      <c r="B32" s="45" t="s">
        <v>134</v>
      </c>
      <c r="C32" s="78"/>
      <c r="D32" s="75" t="s">
        <v>58</v>
      </c>
      <c r="E32" s="69" t="s">
        <v>60</v>
      </c>
      <c r="F32" s="69" t="s">
        <v>60</v>
      </c>
      <c r="G32" s="37" t="s">
        <v>55</v>
      </c>
      <c r="H32" s="87">
        <v>45787</v>
      </c>
      <c r="I32" s="88" t="s">
        <v>73</v>
      </c>
      <c r="J32" s="37" t="s">
        <v>55</v>
      </c>
      <c r="K32" s="73"/>
      <c r="L32" s="37"/>
      <c r="M32" s="76"/>
    </row>
    <row r="33" spans="1:14" ht="33.6">
      <c r="A33" s="88" t="s">
        <v>151</v>
      </c>
      <c r="B33" s="45" t="s">
        <v>135</v>
      </c>
      <c r="C33" s="78"/>
      <c r="D33" s="75" t="s">
        <v>58</v>
      </c>
      <c r="E33" s="69" t="s">
        <v>60</v>
      </c>
      <c r="F33" s="69" t="s">
        <v>60</v>
      </c>
      <c r="G33" s="37" t="s">
        <v>55</v>
      </c>
      <c r="H33" s="87">
        <v>45787</v>
      </c>
      <c r="I33" s="88" t="s">
        <v>73</v>
      </c>
      <c r="J33" s="37" t="s">
        <v>55</v>
      </c>
      <c r="K33" s="73"/>
      <c r="L33" s="37"/>
      <c r="M33" s="76"/>
    </row>
    <row r="34" spans="1:14" ht="33.6">
      <c r="A34" s="88" t="s">
        <v>152</v>
      </c>
      <c r="B34" s="45" t="s">
        <v>136</v>
      </c>
      <c r="C34" s="78"/>
      <c r="D34" s="75" t="s">
        <v>58</v>
      </c>
      <c r="E34" s="69" t="s">
        <v>60</v>
      </c>
      <c r="F34" s="69" t="s">
        <v>60</v>
      </c>
      <c r="G34" s="37" t="s">
        <v>55</v>
      </c>
      <c r="H34" s="87">
        <v>45787</v>
      </c>
      <c r="I34" s="88" t="s">
        <v>73</v>
      </c>
      <c r="J34" s="37" t="s">
        <v>55</v>
      </c>
      <c r="K34" s="73"/>
      <c r="L34" s="37"/>
      <c r="M34" s="76"/>
    </row>
    <row r="35" spans="1:14" ht="38.4" customHeight="1">
      <c r="A35" s="88" t="s">
        <v>153</v>
      </c>
      <c r="B35" s="45" t="s">
        <v>137</v>
      </c>
      <c r="C35" s="78"/>
      <c r="D35" s="75" t="s">
        <v>58</v>
      </c>
      <c r="E35" s="69" t="s">
        <v>60</v>
      </c>
      <c r="F35" s="69" t="s">
        <v>60</v>
      </c>
      <c r="G35" s="37" t="s">
        <v>55</v>
      </c>
      <c r="H35" s="87">
        <v>45787</v>
      </c>
      <c r="I35" s="88" t="s">
        <v>73</v>
      </c>
      <c r="J35" s="37" t="s">
        <v>55</v>
      </c>
      <c r="K35" s="73"/>
      <c r="L35" s="37"/>
      <c r="M35" s="76"/>
    </row>
    <row r="36" spans="1:14" ht="33.6">
      <c r="A36" s="88" t="s">
        <v>154</v>
      </c>
      <c r="B36" s="45" t="s">
        <v>138</v>
      </c>
      <c r="C36" s="78"/>
      <c r="D36" s="75" t="s">
        <v>58</v>
      </c>
      <c r="E36" s="69" t="s">
        <v>60</v>
      </c>
      <c r="F36" s="69" t="s">
        <v>60</v>
      </c>
      <c r="G36" s="37" t="s">
        <v>55</v>
      </c>
      <c r="H36" s="87">
        <v>45787</v>
      </c>
      <c r="I36" s="88" t="s">
        <v>73</v>
      </c>
      <c r="J36" s="37" t="s">
        <v>55</v>
      </c>
      <c r="K36" s="73"/>
      <c r="L36" s="37"/>
      <c r="M36" s="76"/>
    </row>
    <row r="37" spans="1:14" ht="33.6">
      <c r="A37" s="88" t="s">
        <v>155</v>
      </c>
      <c r="B37" s="45" t="s">
        <v>139</v>
      </c>
      <c r="C37" s="78"/>
      <c r="D37" s="75" t="s">
        <v>58</v>
      </c>
      <c r="E37" s="69" t="s">
        <v>60</v>
      </c>
      <c r="F37" s="69" t="s">
        <v>60</v>
      </c>
      <c r="G37" s="37" t="s">
        <v>55</v>
      </c>
      <c r="H37" s="87">
        <v>45787</v>
      </c>
      <c r="I37" s="88" t="s">
        <v>73</v>
      </c>
      <c r="J37" s="37" t="s">
        <v>55</v>
      </c>
      <c r="K37" s="73"/>
      <c r="L37" s="37"/>
      <c r="M37" s="76"/>
    </row>
    <row r="38" spans="1:14" ht="33.6">
      <c r="A38" s="88" t="s">
        <v>156</v>
      </c>
      <c r="B38" s="45" t="s">
        <v>140</v>
      </c>
      <c r="C38" s="78"/>
      <c r="D38" s="75" t="s">
        <v>58</v>
      </c>
      <c r="E38" s="69" t="s">
        <v>60</v>
      </c>
      <c r="F38" s="69" t="s">
        <v>60</v>
      </c>
      <c r="G38" s="37" t="s">
        <v>55</v>
      </c>
      <c r="H38" s="87">
        <v>45787</v>
      </c>
      <c r="I38" s="88" t="s">
        <v>73</v>
      </c>
      <c r="J38" s="37" t="s">
        <v>55</v>
      </c>
      <c r="K38" s="73"/>
      <c r="L38" s="37"/>
      <c r="M38" s="76"/>
    </row>
    <row r="39" spans="1:14" ht="33.6">
      <c r="A39" s="88" t="s">
        <v>157</v>
      </c>
      <c r="B39" s="45" t="s">
        <v>141</v>
      </c>
      <c r="C39" s="78"/>
      <c r="D39" s="75" t="s">
        <v>58</v>
      </c>
      <c r="E39" s="69" t="s">
        <v>60</v>
      </c>
      <c r="F39" s="69" t="s">
        <v>60</v>
      </c>
      <c r="G39" s="37" t="s">
        <v>55</v>
      </c>
      <c r="H39" s="87">
        <v>45787</v>
      </c>
      <c r="I39" s="88" t="s">
        <v>73</v>
      </c>
      <c r="J39" s="37" t="s">
        <v>55</v>
      </c>
      <c r="K39" s="73"/>
      <c r="L39" s="37"/>
      <c r="M39" s="76"/>
    </row>
    <row r="40" spans="1:14" ht="33.6">
      <c r="A40" s="88" t="s">
        <v>158</v>
      </c>
      <c r="B40" s="45" t="s">
        <v>142</v>
      </c>
      <c r="C40" s="78"/>
      <c r="D40" s="75" t="s">
        <v>58</v>
      </c>
      <c r="E40" s="69" t="s">
        <v>60</v>
      </c>
      <c r="F40" s="69" t="s">
        <v>60</v>
      </c>
      <c r="G40" s="37" t="s">
        <v>55</v>
      </c>
      <c r="H40" s="87">
        <v>45787</v>
      </c>
      <c r="I40" s="88" t="s">
        <v>73</v>
      </c>
      <c r="J40" s="37" t="s">
        <v>55</v>
      </c>
      <c r="K40" s="73"/>
      <c r="L40" s="37"/>
      <c r="M40" s="76"/>
    </row>
    <row r="41" spans="1:14" ht="33.6">
      <c r="A41" s="88" t="s">
        <v>159</v>
      </c>
      <c r="B41" s="45" t="s">
        <v>143</v>
      </c>
      <c r="C41" s="78"/>
      <c r="D41" s="75" t="s">
        <v>58</v>
      </c>
      <c r="E41" s="69" t="s">
        <v>60</v>
      </c>
      <c r="F41" s="69" t="s">
        <v>60</v>
      </c>
      <c r="G41" s="37" t="s">
        <v>55</v>
      </c>
      <c r="H41" s="87">
        <v>45787</v>
      </c>
      <c r="I41" s="88" t="s">
        <v>73</v>
      </c>
      <c r="J41" s="37" t="s">
        <v>55</v>
      </c>
      <c r="K41" s="73"/>
      <c r="L41" s="37"/>
      <c r="M41" s="76"/>
    </row>
    <row r="42" spans="1:14" ht="33.6">
      <c r="A42" s="88" t="s">
        <v>160</v>
      </c>
      <c r="B42" s="45" t="s">
        <v>144</v>
      </c>
      <c r="C42" s="78"/>
      <c r="D42" s="75" t="s">
        <v>58</v>
      </c>
      <c r="E42" s="69" t="s">
        <v>60</v>
      </c>
      <c r="F42" s="69" t="s">
        <v>60</v>
      </c>
      <c r="G42" s="37" t="s">
        <v>55</v>
      </c>
      <c r="H42" s="87">
        <v>45787</v>
      </c>
      <c r="I42" s="88" t="s">
        <v>73</v>
      </c>
      <c r="J42" s="37" t="s">
        <v>55</v>
      </c>
      <c r="K42" s="73"/>
      <c r="L42" s="37"/>
      <c r="M42" s="76"/>
    </row>
    <row r="43" spans="1:14" ht="60.6" customHeight="1">
      <c r="A43" s="88" t="s">
        <v>161</v>
      </c>
      <c r="B43" s="45" t="s">
        <v>145</v>
      </c>
      <c r="C43" s="78"/>
      <c r="D43" s="75" t="s">
        <v>58</v>
      </c>
      <c r="E43" s="69" t="s">
        <v>147</v>
      </c>
      <c r="F43" s="69" t="s">
        <v>147</v>
      </c>
      <c r="G43" s="37" t="s">
        <v>55</v>
      </c>
      <c r="H43" s="87">
        <v>45787</v>
      </c>
      <c r="I43" s="88" t="s">
        <v>73</v>
      </c>
      <c r="J43" s="37" t="s">
        <v>55</v>
      </c>
      <c r="K43" s="73"/>
      <c r="L43" s="37"/>
      <c r="M43" s="76"/>
    </row>
    <row r="44" spans="1:14" ht="66" customHeight="1">
      <c r="A44" s="88" t="s">
        <v>162</v>
      </c>
      <c r="B44" s="75" t="s">
        <v>146</v>
      </c>
      <c r="C44" s="84"/>
      <c r="D44" s="75" t="s">
        <v>58</v>
      </c>
      <c r="E44" s="69" t="s">
        <v>148</v>
      </c>
      <c r="F44" s="69" t="s">
        <v>148</v>
      </c>
      <c r="G44" s="37" t="s">
        <v>55</v>
      </c>
      <c r="H44" s="87">
        <v>45787</v>
      </c>
      <c r="I44" s="88" t="s">
        <v>73</v>
      </c>
      <c r="J44" s="37" t="s">
        <v>55</v>
      </c>
      <c r="K44" s="84"/>
      <c r="L44" s="84"/>
      <c r="M44" s="84"/>
    </row>
    <row r="45" spans="1:14" ht="33.6" customHeight="1">
      <c r="A45" s="110" t="s">
        <v>237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2"/>
      <c r="N45" s="33"/>
    </row>
    <row r="46" spans="1:14" ht="79.2" customHeight="1">
      <c r="A46" s="96" t="s">
        <v>181</v>
      </c>
      <c r="B46" s="69" t="s">
        <v>164</v>
      </c>
      <c r="C46" s="69" t="s">
        <v>238</v>
      </c>
      <c r="D46" s="75" t="s">
        <v>58</v>
      </c>
      <c r="E46" s="75" t="s">
        <v>163</v>
      </c>
      <c r="F46" s="75" t="s">
        <v>163</v>
      </c>
      <c r="G46" s="37" t="s">
        <v>55</v>
      </c>
      <c r="H46" s="87">
        <v>45787</v>
      </c>
      <c r="I46" s="88" t="s">
        <v>73</v>
      </c>
      <c r="J46" s="37" t="s">
        <v>55</v>
      </c>
      <c r="K46" s="87">
        <v>45789</v>
      </c>
      <c r="L46" s="88" t="s">
        <v>73</v>
      </c>
      <c r="M46" s="76"/>
    </row>
    <row r="47" spans="1:14" ht="95.4" customHeight="1">
      <c r="A47" s="96" t="s">
        <v>182</v>
      </c>
      <c r="B47" s="75" t="s">
        <v>165</v>
      </c>
      <c r="C47" s="69" t="s">
        <v>239</v>
      </c>
      <c r="D47" s="75" t="s">
        <v>58</v>
      </c>
      <c r="E47" s="75" t="s">
        <v>166</v>
      </c>
      <c r="F47" s="75" t="s">
        <v>166</v>
      </c>
      <c r="G47" s="37" t="s">
        <v>55</v>
      </c>
      <c r="H47" s="87">
        <v>45787</v>
      </c>
      <c r="I47" s="88" t="s">
        <v>73</v>
      </c>
      <c r="J47" s="37" t="s">
        <v>55</v>
      </c>
      <c r="K47" s="87">
        <v>45789</v>
      </c>
      <c r="L47" s="88" t="s">
        <v>73</v>
      </c>
      <c r="M47" s="76"/>
    </row>
    <row r="48" spans="1:14" ht="97.8" customHeight="1">
      <c r="A48" s="96" t="s">
        <v>183</v>
      </c>
      <c r="B48" s="75" t="s">
        <v>167</v>
      </c>
      <c r="C48" s="69" t="s">
        <v>240</v>
      </c>
      <c r="D48" s="75" t="s">
        <v>58</v>
      </c>
      <c r="E48" s="75" t="s">
        <v>166</v>
      </c>
      <c r="F48" s="75" t="s">
        <v>166</v>
      </c>
      <c r="G48" s="37" t="s">
        <v>55</v>
      </c>
      <c r="H48" s="87">
        <v>45787</v>
      </c>
      <c r="I48" s="88" t="s">
        <v>73</v>
      </c>
      <c r="J48" s="37" t="s">
        <v>55</v>
      </c>
      <c r="K48" s="87">
        <v>45789</v>
      </c>
      <c r="L48" s="88" t="s">
        <v>73</v>
      </c>
      <c r="M48" s="76"/>
    </row>
    <row r="49" spans="1:13" ht="109.2" customHeight="1">
      <c r="A49" s="96" t="s">
        <v>184</v>
      </c>
      <c r="B49" s="75" t="s">
        <v>168</v>
      </c>
      <c r="C49" s="69" t="s">
        <v>241</v>
      </c>
      <c r="D49" s="75" t="s">
        <v>58</v>
      </c>
      <c r="E49" s="75" t="s">
        <v>166</v>
      </c>
      <c r="F49" s="75" t="s">
        <v>166</v>
      </c>
      <c r="G49" s="37" t="s">
        <v>55</v>
      </c>
      <c r="H49" s="87">
        <v>45787</v>
      </c>
      <c r="I49" s="88" t="s">
        <v>73</v>
      </c>
      <c r="J49" s="37" t="s">
        <v>55</v>
      </c>
      <c r="K49" s="87">
        <v>45789</v>
      </c>
      <c r="L49" s="88" t="s">
        <v>73</v>
      </c>
      <c r="M49" s="76"/>
    </row>
    <row r="50" spans="1:13" ht="109.2" customHeight="1">
      <c r="A50" s="96" t="s">
        <v>185</v>
      </c>
      <c r="B50" s="75" t="s">
        <v>235</v>
      </c>
      <c r="C50" s="69" t="s">
        <v>243</v>
      </c>
      <c r="D50" s="75" t="s">
        <v>58</v>
      </c>
      <c r="E50" s="75" t="s">
        <v>166</v>
      </c>
      <c r="F50" s="75" t="s">
        <v>166</v>
      </c>
      <c r="G50" s="37" t="s">
        <v>55</v>
      </c>
      <c r="H50" s="87">
        <v>45787</v>
      </c>
      <c r="I50" s="88" t="s">
        <v>73</v>
      </c>
      <c r="J50" s="37" t="s">
        <v>55</v>
      </c>
      <c r="K50" s="87">
        <v>45789</v>
      </c>
      <c r="L50" s="88" t="s">
        <v>73</v>
      </c>
      <c r="M50" s="76"/>
    </row>
    <row r="51" spans="1:13" ht="93" customHeight="1">
      <c r="A51" s="96" t="s">
        <v>186</v>
      </c>
      <c r="B51" s="75" t="s">
        <v>169</v>
      </c>
      <c r="C51" s="69" t="s">
        <v>242</v>
      </c>
      <c r="D51" s="75" t="s">
        <v>58</v>
      </c>
      <c r="E51" s="75" t="s">
        <v>166</v>
      </c>
      <c r="F51" s="75" t="s">
        <v>166</v>
      </c>
      <c r="G51" s="37" t="s">
        <v>55</v>
      </c>
      <c r="H51" s="87">
        <v>45787</v>
      </c>
      <c r="I51" s="88" t="s">
        <v>73</v>
      </c>
      <c r="J51" s="37" t="s">
        <v>55</v>
      </c>
      <c r="K51" s="87">
        <v>45789</v>
      </c>
      <c r="L51" s="88" t="s">
        <v>73</v>
      </c>
      <c r="M51" s="76"/>
    </row>
    <row r="52" spans="1:13" ht="93" customHeight="1">
      <c r="A52" s="96" t="s">
        <v>187</v>
      </c>
      <c r="B52" s="75" t="s">
        <v>171</v>
      </c>
      <c r="C52" s="69" t="s">
        <v>244</v>
      </c>
      <c r="D52" s="75" t="s">
        <v>58</v>
      </c>
      <c r="E52" s="75" t="s">
        <v>166</v>
      </c>
      <c r="F52" s="75" t="s">
        <v>166</v>
      </c>
      <c r="G52" s="37" t="s">
        <v>55</v>
      </c>
      <c r="H52" s="87">
        <v>45787</v>
      </c>
      <c r="I52" s="88" t="s">
        <v>73</v>
      </c>
      <c r="J52" s="37" t="s">
        <v>55</v>
      </c>
      <c r="K52" s="87">
        <v>45789</v>
      </c>
      <c r="L52" s="88" t="s">
        <v>73</v>
      </c>
      <c r="M52" s="76"/>
    </row>
    <row r="53" spans="1:13" ht="93" customHeight="1">
      <c r="A53" s="96" t="s">
        <v>188</v>
      </c>
      <c r="B53" s="75" t="s">
        <v>172</v>
      </c>
      <c r="C53" s="69" t="s">
        <v>245</v>
      </c>
      <c r="D53" s="75" t="s">
        <v>58</v>
      </c>
      <c r="E53" s="75" t="s">
        <v>166</v>
      </c>
      <c r="F53" s="75" t="s">
        <v>166</v>
      </c>
      <c r="G53" s="37" t="s">
        <v>55</v>
      </c>
      <c r="H53" s="87">
        <v>45787</v>
      </c>
      <c r="I53" s="88" t="s">
        <v>73</v>
      </c>
      <c r="J53" s="37" t="s">
        <v>55</v>
      </c>
      <c r="K53" s="87">
        <v>45789</v>
      </c>
      <c r="L53" s="88" t="s">
        <v>73</v>
      </c>
      <c r="M53" s="76"/>
    </row>
    <row r="54" spans="1:13" ht="97.2" customHeight="1">
      <c r="A54" s="96" t="s">
        <v>189</v>
      </c>
      <c r="B54" s="75" t="s">
        <v>170</v>
      </c>
      <c r="C54" s="69" t="s">
        <v>244</v>
      </c>
      <c r="D54" s="75" t="s">
        <v>58</v>
      </c>
      <c r="E54" s="75" t="s">
        <v>166</v>
      </c>
      <c r="F54" s="75" t="s">
        <v>166</v>
      </c>
      <c r="G54" s="37" t="s">
        <v>55</v>
      </c>
      <c r="H54" s="87">
        <v>45787</v>
      </c>
      <c r="I54" s="88" t="s">
        <v>73</v>
      </c>
      <c r="J54" s="37" t="s">
        <v>55</v>
      </c>
      <c r="K54" s="87">
        <v>45789</v>
      </c>
      <c r="L54" s="88" t="s">
        <v>73</v>
      </c>
      <c r="M54" s="76"/>
    </row>
    <row r="55" spans="1:13" ht="91.8" customHeight="1">
      <c r="A55" s="96" t="s">
        <v>190</v>
      </c>
      <c r="B55" s="75" t="s">
        <v>176</v>
      </c>
      <c r="C55" s="69" t="s">
        <v>246</v>
      </c>
      <c r="D55" s="75" t="s">
        <v>58</v>
      </c>
      <c r="E55" s="75" t="s">
        <v>166</v>
      </c>
      <c r="F55" s="75" t="s">
        <v>166</v>
      </c>
      <c r="G55" s="37" t="s">
        <v>55</v>
      </c>
      <c r="H55" s="87">
        <v>45787</v>
      </c>
      <c r="I55" s="88" t="s">
        <v>73</v>
      </c>
      <c r="J55" s="37" t="s">
        <v>55</v>
      </c>
      <c r="K55" s="87">
        <v>45789</v>
      </c>
      <c r="L55" s="88" t="s">
        <v>73</v>
      </c>
      <c r="M55" s="76"/>
    </row>
    <row r="56" spans="1:13" ht="94.2" customHeight="1">
      <c r="A56" s="96" t="s">
        <v>191</v>
      </c>
      <c r="B56" s="75" t="s">
        <v>177</v>
      </c>
      <c r="C56" s="69" t="s">
        <v>247</v>
      </c>
      <c r="D56" s="75" t="s">
        <v>58</v>
      </c>
      <c r="E56" s="75" t="s">
        <v>166</v>
      </c>
      <c r="F56" s="75" t="s">
        <v>166</v>
      </c>
      <c r="G56" s="37" t="s">
        <v>55</v>
      </c>
      <c r="H56" s="87">
        <v>45787</v>
      </c>
      <c r="I56" s="88" t="s">
        <v>73</v>
      </c>
      <c r="J56" s="37" t="s">
        <v>55</v>
      </c>
      <c r="K56" s="87">
        <v>45789</v>
      </c>
      <c r="L56" s="88" t="s">
        <v>73</v>
      </c>
      <c r="M56" s="76"/>
    </row>
    <row r="57" spans="1:13" ht="67.2">
      <c r="A57" s="96" t="s">
        <v>192</v>
      </c>
      <c r="B57" s="75" t="s">
        <v>178</v>
      </c>
      <c r="C57" s="69" t="s">
        <v>248</v>
      </c>
      <c r="D57" s="75" t="s">
        <v>58</v>
      </c>
      <c r="E57" s="75" t="s">
        <v>166</v>
      </c>
      <c r="F57" s="75" t="s">
        <v>166</v>
      </c>
      <c r="G57" s="37" t="s">
        <v>55</v>
      </c>
      <c r="H57" s="87">
        <v>45787</v>
      </c>
      <c r="I57" s="88" t="s">
        <v>73</v>
      </c>
      <c r="J57" s="37" t="s">
        <v>55</v>
      </c>
      <c r="K57" s="87">
        <v>45789</v>
      </c>
      <c r="L57" s="88" t="s">
        <v>73</v>
      </c>
      <c r="M57" s="76"/>
    </row>
    <row r="58" spans="1:13" ht="75" customHeight="1">
      <c r="A58" s="96" t="s">
        <v>193</v>
      </c>
      <c r="B58" s="75" t="s">
        <v>179</v>
      </c>
      <c r="C58" s="69" t="s">
        <v>249</v>
      </c>
      <c r="D58" s="75" t="s">
        <v>58</v>
      </c>
      <c r="E58" s="75" t="s">
        <v>166</v>
      </c>
      <c r="F58" s="75" t="s">
        <v>166</v>
      </c>
      <c r="G58" s="37" t="s">
        <v>55</v>
      </c>
      <c r="H58" s="87">
        <v>45787</v>
      </c>
      <c r="I58" s="88" t="s">
        <v>73</v>
      </c>
      <c r="J58" s="37" t="s">
        <v>55</v>
      </c>
      <c r="K58" s="87">
        <v>45789</v>
      </c>
      <c r="L58" s="88" t="s">
        <v>73</v>
      </c>
      <c r="M58" s="76"/>
    </row>
    <row r="59" spans="1:13" ht="50.4">
      <c r="A59" s="96" t="s">
        <v>236</v>
      </c>
      <c r="B59" s="75" t="s">
        <v>180</v>
      </c>
      <c r="C59" s="69" t="s">
        <v>250</v>
      </c>
      <c r="D59" s="75" t="s">
        <v>58</v>
      </c>
      <c r="E59" s="75" t="s">
        <v>251</v>
      </c>
      <c r="F59" s="75" t="s">
        <v>251</v>
      </c>
      <c r="G59" s="37" t="s">
        <v>55</v>
      </c>
      <c r="H59" s="87">
        <v>45787</v>
      </c>
      <c r="I59" s="88" t="s">
        <v>73</v>
      </c>
      <c r="J59" s="37" t="s">
        <v>55</v>
      </c>
      <c r="K59" s="87">
        <v>45789</v>
      </c>
      <c r="L59" s="88" t="s">
        <v>73</v>
      </c>
      <c r="M59" s="76"/>
    </row>
    <row r="60" spans="1:13">
      <c r="D60"/>
    </row>
  </sheetData>
  <mergeCells count="14">
    <mergeCell ref="A45:M45"/>
    <mergeCell ref="B1:F1"/>
    <mergeCell ref="B2:F2"/>
    <mergeCell ref="A27:A29"/>
    <mergeCell ref="B27:B29"/>
    <mergeCell ref="C27:C29"/>
    <mergeCell ref="D27:D29"/>
    <mergeCell ref="E27:E29"/>
    <mergeCell ref="F27:F29"/>
    <mergeCell ref="G27:L27"/>
    <mergeCell ref="M27:M29"/>
    <mergeCell ref="G28:I28"/>
    <mergeCell ref="J28:L28"/>
    <mergeCell ref="A30:M30"/>
  </mergeCells>
  <phoneticPr fontId="26" type="noConversion"/>
  <dataValidations count="1">
    <dataValidation type="list" operator="equal" allowBlank="1" showErrorMessage="1" promptTitle="dfdf" sqref="G31:G44 J31:J44 J46:J59 G46:G59" xr:uid="{2F7D388F-585D-4722-A79D-183AD6137EFA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/>
    <col min="11" max="11" width="13.6640625" style="7" customWidth="1"/>
    <col min="12" max="12" width="14.33203125" style="7" customWidth="1"/>
    <col min="13" max="16384" width="9.109375" style="7"/>
  </cols>
  <sheetData>
    <row r="1" spans="1:16" s="1" customFormat="1" ht="24.6">
      <c r="A1" s="132" t="s">
        <v>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47" t="s">
        <v>1</v>
      </c>
      <c r="B3" s="133" t="s">
        <v>7</v>
      </c>
      <c r="C3" s="133"/>
      <c r="D3" s="48"/>
      <c r="E3" s="125" t="s">
        <v>8</v>
      </c>
      <c r="F3" s="125"/>
      <c r="G3" s="125"/>
      <c r="H3" s="126" t="s">
        <v>9</v>
      </c>
      <c r="I3" s="127"/>
      <c r="J3" s="127"/>
      <c r="K3" s="128"/>
      <c r="L3" s="49"/>
      <c r="M3" s="49"/>
      <c r="N3" s="49"/>
      <c r="O3" s="49"/>
      <c r="P3" s="49"/>
    </row>
    <row r="4" spans="1:16" s="1" customFormat="1" ht="16.8">
      <c r="A4" s="47"/>
      <c r="B4" s="124"/>
      <c r="C4" s="124"/>
      <c r="D4" s="50"/>
      <c r="E4" s="125" t="s">
        <v>10</v>
      </c>
      <c r="F4" s="125"/>
      <c r="G4" s="125"/>
      <c r="H4" s="129" t="s">
        <v>11</v>
      </c>
      <c r="I4" s="130"/>
      <c r="J4" s="130"/>
      <c r="K4" s="131"/>
      <c r="L4" s="50"/>
      <c r="M4" s="49"/>
      <c r="N4" s="49"/>
      <c r="O4" s="49"/>
      <c r="P4" s="49"/>
    </row>
    <row r="5" spans="1:16" s="1" customFormat="1" ht="16.8">
      <c r="A5" s="47"/>
      <c r="B5" s="124"/>
      <c r="C5" s="124"/>
      <c r="D5" s="50"/>
      <c r="E5" s="125" t="s">
        <v>12</v>
      </c>
      <c r="F5" s="125"/>
      <c r="G5" s="125"/>
      <c r="H5" s="138">
        <v>44114</v>
      </c>
      <c r="I5" s="139"/>
      <c r="J5" s="139"/>
      <c r="K5" s="140"/>
      <c r="L5" s="50"/>
      <c r="M5" s="49"/>
      <c r="N5" s="49"/>
      <c r="O5" s="49"/>
      <c r="P5" s="49"/>
    </row>
    <row r="6" spans="1:16" s="1" customFormat="1" ht="20.25" customHeight="1">
      <c r="A6" s="51" t="s">
        <v>13</v>
      </c>
      <c r="B6" s="136" t="s">
        <v>14</v>
      </c>
      <c r="C6" s="136"/>
      <c r="D6" s="136"/>
      <c r="E6" s="136"/>
      <c r="F6" s="136"/>
      <c r="G6" s="136"/>
      <c r="H6" s="136"/>
      <c r="I6" s="136"/>
      <c r="J6" s="136"/>
      <c r="K6" s="136"/>
      <c r="L6" s="52"/>
      <c r="M6" s="53"/>
      <c r="N6" s="53"/>
      <c r="O6" s="53"/>
      <c r="P6" s="53"/>
    </row>
    <row r="7" spans="1:16" s="1" customFormat="1" ht="20.25" customHeight="1">
      <c r="A7" s="54"/>
      <c r="B7" s="55"/>
      <c r="C7" s="137" t="s">
        <v>15</v>
      </c>
      <c r="D7" s="137"/>
      <c r="E7" s="137" t="s">
        <v>16</v>
      </c>
      <c r="F7" s="137"/>
      <c r="G7" s="137" t="s">
        <v>17</v>
      </c>
      <c r="H7" s="137"/>
      <c r="I7" s="137" t="s">
        <v>18</v>
      </c>
      <c r="J7" s="137"/>
      <c r="K7" s="137" t="s">
        <v>19</v>
      </c>
      <c r="L7" s="137"/>
      <c r="M7" s="134" t="s">
        <v>20</v>
      </c>
      <c r="N7" s="134"/>
      <c r="O7" s="135" t="s">
        <v>21</v>
      </c>
      <c r="P7" s="135"/>
    </row>
    <row r="8" spans="1:16" s="1" customFormat="1" ht="16.8">
      <c r="A8" s="56"/>
      <c r="B8" s="5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4"/>
      <c r="N8" s="134"/>
      <c r="O8" s="135"/>
      <c r="P8" s="135"/>
    </row>
    <row r="9" spans="1:16" s="5" customFormat="1" ht="22.5" customHeight="1">
      <c r="A9" s="58" t="s">
        <v>2</v>
      </c>
      <c r="B9" s="58" t="s">
        <v>22</v>
      </c>
      <c r="C9" s="59" t="s">
        <v>23</v>
      </c>
      <c r="D9" s="59" t="s">
        <v>24</v>
      </c>
      <c r="E9" s="59" t="s">
        <v>23</v>
      </c>
      <c r="F9" s="59" t="s">
        <v>24</v>
      </c>
      <c r="G9" s="59" t="s">
        <v>23</v>
      </c>
      <c r="H9" s="59" t="s">
        <v>24</v>
      </c>
      <c r="I9" s="58" t="s">
        <v>23</v>
      </c>
      <c r="J9" s="59" t="s">
        <v>24</v>
      </c>
      <c r="K9" s="59" t="s">
        <v>23</v>
      </c>
      <c r="L9" s="59" t="s">
        <v>24</v>
      </c>
      <c r="M9" s="59" t="s">
        <v>23</v>
      </c>
      <c r="N9" s="59" t="s">
        <v>24</v>
      </c>
      <c r="O9" s="59" t="s">
        <v>23</v>
      </c>
      <c r="P9" s="59" t="s">
        <v>24</v>
      </c>
    </row>
    <row r="10" spans="1:16" s="1" customFormat="1" ht="31.65" customHeight="1">
      <c r="A10" s="60">
        <v>1</v>
      </c>
      <c r="B10" s="61" t="s">
        <v>25</v>
      </c>
      <c r="C10" s="62">
        <v>15</v>
      </c>
      <c r="D10" s="62">
        <v>15</v>
      </c>
      <c r="E10" s="62">
        <v>0</v>
      </c>
      <c r="F10" s="62">
        <f>'[1]Show Bus Routes List'!C6</f>
        <v>0</v>
      </c>
      <c r="G10" s="62">
        <f>'[1]Show Bus Routes List'!D5</f>
        <v>0</v>
      </c>
      <c r="H10" s="62">
        <f>'[1]Show Bus Routes List'!D6</f>
        <v>0</v>
      </c>
      <c r="I10" s="62">
        <f>'[1]Show Bus Routes List'!E5</f>
        <v>0</v>
      </c>
      <c r="J10" s="62">
        <f>'[1]Show Bus Routes List'!E6</f>
        <v>0</v>
      </c>
      <c r="K10" s="62">
        <v>15</v>
      </c>
      <c r="L10" s="62">
        <v>15</v>
      </c>
      <c r="M10" s="63">
        <f>ROUND(C10*100/K10,1)</f>
        <v>100</v>
      </c>
      <c r="N10" s="63">
        <f t="shared" ref="N10:N20" si="0">ROUND(D10*100/L10,1)</f>
        <v>100</v>
      </c>
      <c r="O10" s="63">
        <f t="shared" ref="O10:P17" si="1">ROUND((C10+E10)*100/K10,1)</f>
        <v>100</v>
      </c>
      <c r="P10" s="64">
        <f t="shared" si="1"/>
        <v>100</v>
      </c>
    </row>
    <row r="11" spans="1:16" s="1" customFormat="1" ht="31.65" customHeight="1">
      <c r="A11" s="60">
        <v>2</v>
      </c>
      <c r="B11" s="61" t="s">
        <v>26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3"/>
      <c r="N11" s="63"/>
      <c r="O11" s="63"/>
      <c r="P11" s="64"/>
    </row>
    <row r="12" spans="1:16" s="1" customFormat="1" ht="45" customHeight="1">
      <c r="A12" s="60">
        <v>3</v>
      </c>
      <c r="B12" s="61" t="s">
        <v>27</v>
      </c>
      <c r="C12" s="62">
        <v>12</v>
      </c>
      <c r="D12" s="62">
        <v>12</v>
      </c>
      <c r="E12" s="62">
        <v>0</v>
      </c>
      <c r="F12" s="62">
        <f>'[1]Show Bus Stops List'!C6</f>
        <v>0</v>
      </c>
      <c r="G12" s="62">
        <f>'[1]Show Bus Stops List'!D5</f>
        <v>0</v>
      </c>
      <c r="H12" s="62">
        <f>'[1]Show Bus Stops List'!D6</f>
        <v>0</v>
      </c>
      <c r="I12" s="62">
        <f>'[1]Show Bus Stops List'!E5</f>
        <v>0</v>
      </c>
      <c r="J12" s="62">
        <f>'[1]Show Bus Stops List'!E6</f>
        <v>0</v>
      </c>
      <c r="K12" s="62">
        <v>12</v>
      </c>
      <c r="L12" s="62">
        <v>12</v>
      </c>
      <c r="M12" s="63">
        <f t="shared" ref="M12:M20" si="2">ROUND(C12*100/K12,1)</f>
        <v>100</v>
      </c>
      <c r="N12" s="63">
        <f t="shared" si="0"/>
        <v>100</v>
      </c>
      <c r="O12" s="63">
        <f t="shared" si="1"/>
        <v>100</v>
      </c>
      <c r="P12" s="64">
        <f t="shared" si="1"/>
        <v>100</v>
      </c>
    </row>
    <row r="13" spans="1:16" s="1" customFormat="1" ht="45" customHeight="1">
      <c r="A13" s="65">
        <v>4</v>
      </c>
      <c r="B13" s="66" t="s">
        <v>28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3"/>
      <c r="N13" s="63"/>
      <c r="O13" s="63"/>
      <c r="P13" s="64"/>
    </row>
    <row r="14" spans="1:16" s="1" customFormat="1" ht="33.75" customHeight="1">
      <c r="A14" s="65">
        <v>5</v>
      </c>
      <c r="B14" s="66" t="s">
        <v>29</v>
      </c>
      <c r="C14" s="9">
        <v>8</v>
      </c>
      <c r="D14" s="9">
        <v>8</v>
      </c>
      <c r="E14" s="9" t="e">
        <f>#REF!</f>
        <v>#REF!</v>
      </c>
      <c r="F14" s="9" t="e">
        <f>#REF!</f>
        <v>#REF!</v>
      </c>
      <c r="G14" s="9" t="e">
        <f>#REF!</f>
        <v>#REF!</v>
      </c>
      <c r="H14" s="9" t="e">
        <f>#REF!</f>
        <v>#REF!</v>
      </c>
      <c r="I14" s="9" t="e">
        <f>#REF!</f>
        <v>#REF!</v>
      </c>
      <c r="J14" s="9" t="e">
        <f>#REF!</f>
        <v>#REF!</v>
      </c>
      <c r="K14" s="9">
        <v>4</v>
      </c>
      <c r="L14" s="9">
        <v>4</v>
      </c>
      <c r="M14" s="63">
        <f t="shared" si="2"/>
        <v>200</v>
      </c>
      <c r="N14" s="63">
        <f t="shared" si="0"/>
        <v>200</v>
      </c>
      <c r="O14" s="63" t="e">
        <f>ROUND((C14+E14)*100/K14,1)</f>
        <v>#REF!</v>
      </c>
      <c r="P14" s="64" t="e">
        <f t="shared" si="1"/>
        <v>#REF!</v>
      </c>
    </row>
    <row r="15" spans="1:16" s="1" customFormat="1" ht="33.75" customHeight="1">
      <c r="A15" s="65">
        <v>6</v>
      </c>
      <c r="B15" s="66" t="s">
        <v>30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  <c r="N15" s="10"/>
      <c r="O15" s="10"/>
      <c r="P15" s="11"/>
    </row>
    <row r="16" spans="1:16" s="1" customFormat="1" ht="42" customHeight="1">
      <c r="A16" s="65">
        <v>7</v>
      </c>
      <c r="B16" s="66" t="s">
        <v>31</v>
      </c>
      <c r="C16" s="9">
        <v>15</v>
      </c>
      <c r="D16" s="9">
        <v>15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15</v>
      </c>
      <c r="L16" s="9">
        <v>15</v>
      </c>
      <c r="M16" s="63">
        <f t="shared" si="2"/>
        <v>100</v>
      </c>
      <c r="N16" s="10">
        <v>100</v>
      </c>
      <c r="O16" s="10">
        <v>100</v>
      </c>
      <c r="P16" s="11">
        <v>100</v>
      </c>
    </row>
    <row r="17" spans="1:16" s="1" customFormat="1" ht="33.75" customHeight="1">
      <c r="A17" s="65">
        <v>8</v>
      </c>
      <c r="B17" s="66" t="s">
        <v>32</v>
      </c>
      <c r="C17" s="9">
        <v>20</v>
      </c>
      <c r="D17" s="9">
        <v>20</v>
      </c>
      <c r="E17" s="9" t="e">
        <f>#REF!</f>
        <v>#REF!</v>
      </c>
      <c r="F17" s="9" t="e">
        <f>#REF!</f>
        <v>#REF!</v>
      </c>
      <c r="G17" s="9" t="e">
        <f>#REF!</f>
        <v>#REF!</v>
      </c>
      <c r="H17" s="9" t="e">
        <f>#REF!</f>
        <v>#REF!</v>
      </c>
      <c r="I17" s="9" t="e">
        <f>#REF!</f>
        <v>#REF!</v>
      </c>
      <c r="J17" s="9" t="e">
        <f>#REF!</f>
        <v>#REF!</v>
      </c>
      <c r="K17" s="9">
        <v>20</v>
      </c>
      <c r="L17" s="9">
        <v>20</v>
      </c>
      <c r="M17" s="63">
        <f t="shared" si="2"/>
        <v>100</v>
      </c>
      <c r="N17" s="63">
        <f t="shared" si="0"/>
        <v>100</v>
      </c>
      <c r="O17" s="63" t="e">
        <f>ROUND((C17+E17)*100/K17,1)</f>
        <v>#REF!</v>
      </c>
      <c r="P17" s="64" t="e">
        <f t="shared" si="1"/>
        <v>#REF!</v>
      </c>
    </row>
    <row r="18" spans="1:16" s="1" customFormat="1" ht="21">
      <c r="A18" s="65">
        <v>9</v>
      </c>
      <c r="B18" s="66" t="s">
        <v>33</v>
      </c>
      <c r="C18" s="9">
        <v>27</v>
      </c>
      <c r="D18" s="9">
        <v>27</v>
      </c>
      <c r="E18" s="9" t="e">
        <f>#REF!</f>
        <v>#REF!</v>
      </c>
      <c r="F18" s="62">
        <v>0</v>
      </c>
      <c r="G18" s="9" t="e">
        <f>#REF!</f>
        <v>#REF!</v>
      </c>
      <c r="H18" s="9" t="e">
        <f>#REF!</f>
        <v>#REF!</v>
      </c>
      <c r="I18" s="9" t="e">
        <f>#REF!</f>
        <v>#REF!</v>
      </c>
      <c r="J18" s="9">
        <v>0</v>
      </c>
      <c r="K18" s="9">
        <v>27</v>
      </c>
      <c r="L18" s="9">
        <v>27</v>
      </c>
      <c r="M18" s="63">
        <f t="shared" si="2"/>
        <v>100</v>
      </c>
      <c r="N18" s="63">
        <f t="shared" si="0"/>
        <v>100</v>
      </c>
      <c r="O18" s="63" t="e">
        <f t="shared" ref="O18:O20" si="3">ROUND((C18+E18)*100/K18,1)</f>
        <v>#REF!</v>
      </c>
      <c r="P18" s="64">
        <f t="shared" ref="P18:P20" si="4">ROUND((D18+F18)*100/L18,1)</f>
        <v>100</v>
      </c>
    </row>
    <row r="19" spans="1:16" s="6" customFormat="1" ht="21">
      <c r="A19" s="67">
        <v>10</v>
      </c>
      <c r="B19" s="68" t="s">
        <v>34</v>
      </c>
      <c r="C19" s="32">
        <v>17</v>
      </c>
      <c r="D19" s="32">
        <v>17</v>
      </c>
      <c r="E19" s="9">
        <v>0</v>
      </c>
      <c r="F19" s="9" t="e">
        <f>#REF!</f>
        <v>#REF!</v>
      </c>
      <c r="G19" s="9">
        <v>0</v>
      </c>
      <c r="H19" s="9">
        <v>0</v>
      </c>
      <c r="I19" s="9">
        <v>0</v>
      </c>
      <c r="J19" s="9" t="e">
        <f>#REF!</f>
        <v>#REF!</v>
      </c>
      <c r="K19" s="32">
        <v>17</v>
      </c>
      <c r="L19" s="32">
        <v>17</v>
      </c>
      <c r="M19" s="63">
        <f t="shared" si="2"/>
        <v>100</v>
      </c>
      <c r="N19" s="63">
        <f t="shared" si="0"/>
        <v>100</v>
      </c>
      <c r="O19" s="63">
        <f t="shared" si="3"/>
        <v>100</v>
      </c>
      <c r="P19" s="64" t="e">
        <f t="shared" si="4"/>
        <v>#REF!</v>
      </c>
    </row>
    <row r="20" spans="1:16" s="1" customFormat="1" ht="21">
      <c r="A20" s="67">
        <v>11</v>
      </c>
      <c r="B20" s="68" t="s">
        <v>35</v>
      </c>
      <c r="C20" s="32">
        <v>18</v>
      </c>
      <c r="D20" s="32">
        <v>18</v>
      </c>
      <c r="E20" s="9" t="e">
        <f>#REF!</f>
        <v>#REF!</v>
      </c>
      <c r="F20" s="9">
        <v>0</v>
      </c>
      <c r="G20" s="9" t="e">
        <f>#REF!</f>
        <v>#REF!</v>
      </c>
      <c r="H20" s="9" t="e">
        <f>#REF!</f>
        <v>#REF!</v>
      </c>
      <c r="I20" s="9" t="e">
        <f>#REF!</f>
        <v>#REF!</v>
      </c>
      <c r="J20" s="9">
        <v>0</v>
      </c>
      <c r="K20" s="32">
        <v>18</v>
      </c>
      <c r="L20" s="32">
        <v>18</v>
      </c>
      <c r="M20" s="63">
        <f t="shared" si="2"/>
        <v>100</v>
      </c>
      <c r="N20" s="63">
        <f t="shared" si="0"/>
        <v>100</v>
      </c>
      <c r="O20" s="63" t="e">
        <f t="shared" si="3"/>
        <v>#REF!</v>
      </c>
      <c r="P20" s="64">
        <f t="shared" si="4"/>
        <v>100</v>
      </c>
    </row>
    <row r="21" spans="1:16" s="1" customFormat="1" ht="16.8">
      <c r="A21" s="34"/>
      <c r="B21" s="35" t="s">
        <v>36</v>
      </c>
      <c r="C21" s="36">
        <f t="shared" ref="C21" si="5">SUM(C10:C20)</f>
        <v>132</v>
      </c>
      <c r="D21" s="36">
        <f t="shared" ref="D21" si="6">SUM(D10:D20)</f>
        <v>132</v>
      </c>
      <c r="E21" s="36" t="e">
        <f t="shared" ref="E21" si="7">SUM(E10:E20)</f>
        <v>#REF!</v>
      </c>
      <c r="F21" s="36" t="e">
        <f t="shared" ref="F21" si="8">SUM(F10:F20)</f>
        <v>#REF!</v>
      </c>
      <c r="G21" s="36" t="e">
        <f t="shared" ref="G21" si="9">SUM(G10:G20)</f>
        <v>#REF!</v>
      </c>
      <c r="H21" s="36" t="e">
        <f t="shared" ref="H21" si="10">SUM(H10:H20)</f>
        <v>#REF!</v>
      </c>
      <c r="I21" s="36" t="e">
        <f t="shared" ref="I21" si="11">SUM(I10:I20)</f>
        <v>#REF!</v>
      </c>
      <c r="J21" s="36" t="e">
        <f t="shared" ref="J21" si="12">SUM(J10:J20)</f>
        <v>#REF!</v>
      </c>
      <c r="K21" s="36">
        <f t="shared" ref="K21" si="13">SUM(K10:K20)</f>
        <v>128</v>
      </c>
      <c r="L21" s="36">
        <f t="shared" ref="L21" si="14">SUM(L10:L20)</f>
        <v>128</v>
      </c>
      <c r="M21" s="36">
        <f t="shared" ref="M21" si="15">SUM(M10:M20)</f>
        <v>900</v>
      </c>
      <c r="N21" s="36">
        <f t="shared" ref="N21" si="16">SUM(N10:N20)</f>
        <v>900</v>
      </c>
      <c r="O21" s="36" t="e">
        <f t="shared" ref="O21" si="17">SUM(O10:O20)</f>
        <v>#REF!</v>
      </c>
      <c r="P21" s="36" t="e">
        <f t="shared" ref="P21" si="18">SUM(P10:P20)</f>
        <v>#REF!</v>
      </c>
    </row>
    <row r="22" spans="1:16" ht="17.399999999999999" thickBot="1">
      <c r="A22" s="12"/>
      <c r="B22" s="13"/>
      <c r="C22" s="14" t="s">
        <v>23</v>
      </c>
      <c r="D22" s="14" t="s">
        <v>37</v>
      </c>
      <c r="E22" s="15"/>
      <c r="F22" s="16"/>
      <c r="G22" s="16"/>
      <c r="H22" s="16"/>
      <c r="I22" s="16"/>
      <c r="J22" s="16"/>
      <c r="K22" s="17"/>
      <c r="L22" s="17"/>
      <c r="M22" s="18"/>
      <c r="N22" s="18"/>
      <c r="O22" s="18"/>
      <c r="P22" s="30"/>
    </row>
    <row r="23" spans="1:16" ht="17.399999999999999" thickBot="1">
      <c r="A23" s="19"/>
      <c r="B23" s="20" t="s">
        <v>38</v>
      </c>
      <c r="C23" s="21" t="e">
        <f>ROUND((C21+E21)*100/K21,1)</f>
        <v>#REF!</v>
      </c>
      <c r="D23" s="22" t="e">
        <f>ROUND((D21+F21)*100/L21,1)</f>
        <v>#REF!</v>
      </c>
      <c r="E23" s="19" t="s">
        <v>39</v>
      </c>
      <c r="F23" s="23"/>
      <c r="G23" s="24"/>
      <c r="H23" s="19"/>
      <c r="I23" s="19"/>
      <c r="J23" s="19"/>
      <c r="K23" s="24"/>
      <c r="L23" s="24"/>
      <c r="M23" s="25"/>
      <c r="N23" s="25"/>
      <c r="O23" s="25"/>
      <c r="P23" s="31"/>
    </row>
    <row r="24" spans="1:16" ht="16.8">
      <c r="A24" s="42"/>
      <c r="B24" s="26" t="s">
        <v>40</v>
      </c>
      <c r="C24" s="27">
        <f>ROUND(C21*100/K21,1)</f>
        <v>103.1</v>
      </c>
      <c r="D24" s="28">
        <f>ROUND(D21*100/L21,1)</f>
        <v>103.1</v>
      </c>
      <c r="E24" s="27" t="s">
        <v>39</v>
      </c>
      <c r="F24" s="29"/>
      <c r="G24" s="43"/>
      <c r="H24" s="42"/>
      <c r="I24" s="42"/>
      <c r="J24" s="42"/>
      <c r="K24" s="43"/>
      <c r="L24" s="43"/>
      <c r="M24" s="44"/>
      <c r="N24" s="44"/>
      <c r="O24" s="44"/>
      <c r="P24" s="40"/>
    </row>
  </sheetData>
  <mergeCells count="18"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  <mergeCell ref="B4:C4"/>
    <mergeCell ref="E4:G4"/>
    <mergeCell ref="H3:K3"/>
    <mergeCell ref="H4:K4"/>
    <mergeCell ref="A1:P1"/>
    <mergeCell ref="B3:C3"/>
    <mergeCell ref="E3:G3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zoomScale="55" zoomScaleNormal="55" workbookViewId="0">
      <selection activeCell="F21" sqref="F21"/>
    </sheetView>
  </sheetViews>
  <sheetFormatPr defaultRowHeight="14.4"/>
  <cols>
    <col min="1" max="1" width="15.77734375" customWidth="1"/>
    <col min="2" max="2" width="21.44140625" customWidth="1"/>
    <col min="3" max="3" width="19.21875" customWidth="1"/>
    <col min="4" max="4" width="31.21875" customWidth="1"/>
    <col min="5" max="5" width="21.77734375" customWidth="1"/>
    <col min="6" max="6" width="59.6640625" customWidth="1"/>
    <col min="7" max="7" width="12.109375" style="92" customWidth="1"/>
    <col min="8" max="8" width="18.109375" style="92" customWidth="1"/>
    <col min="9" max="9" width="17.5546875" style="92" customWidth="1"/>
    <col min="10" max="10" width="11.44140625" style="92" customWidth="1"/>
    <col min="11" max="11" width="16.5546875" style="92" customWidth="1"/>
    <col min="12" max="12" width="15.88671875" style="92" customWidth="1"/>
    <col min="13" max="13" width="18.21875" customWidth="1"/>
  </cols>
  <sheetData>
    <row r="1" spans="1:6" ht="16.8">
      <c r="A1" s="77" t="s">
        <v>41</v>
      </c>
      <c r="B1" s="113" t="s">
        <v>252</v>
      </c>
      <c r="C1" s="113"/>
      <c r="D1" s="113"/>
      <c r="E1" s="113"/>
      <c r="F1" s="113"/>
    </row>
    <row r="2" spans="1:6" ht="16.8">
      <c r="A2" s="77" t="s">
        <v>42</v>
      </c>
      <c r="B2" s="114" t="s">
        <v>71</v>
      </c>
      <c r="C2" s="114"/>
      <c r="D2" s="114"/>
      <c r="E2" s="114"/>
      <c r="F2" s="114"/>
    </row>
    <row r="3" spans="1:6" ht="16.8">
      <c r="A3" s="78"/>
      <c r="B3" s="79" t="s">
        <v>15</v>
      </c>
      <c r="C3" s="79" t="s">
        <v>16</v>
      </c>
      <c r="D3" s="79" t="s">
        <v>43</v>
      </c>
      <c r="E3" s="80" t="s">
        <v>18</v>
      </c>
      <c r="F3" s="79" t="s">
        <v>56</v>
      </c>
    </row>
    <row r="4" spans="1:6" ht="16.8">
      <c r="A4" s="81" t="s">
        <v>44</v>
      </c>
      <c r="B4" s="78">
        <v>13</v>
      </c>
      <c r="C4" s="78">
        <v>1</v>
      </c>
      <c r="D4" s="78">
        <v>0</v>
      </c>
      <c r="E4" s="78">
        <v>0</v>
      </c>
      <c r="F4" s="78">
        <f>B4</f>
        <v>13</v>
      </c>
    </row>
    <row r="5" spans="1:6" ht="16.8">
      <c r="A5" s="81" t="s">
        <v>45</v>
      </c>
      <c r="B5" s="78">
        <v>7</v>
      </c>
      <c r="C5" s="78">
        <v>1</v>
      </c>
      <c r="D5" s="78">
        <v>0</v>
      </c>
      <c r="E5" s="78">
        <v>0</v>
      </c>
      <c r="F5" s="78">
        <f>B5</f>
        <v>7</v>
      </c>
    </row>
    <row r="24" spans="1:13" ht="16.8">
      <c r="A24" s="147" t="s">
        <v>46</v>
      </c>
      <c r="B24" s="144" t="s">
        <v>5</v>
      </c>
      <c r="C24" s="144" t="s">
        <v>47</v>
      </c>
      <c r="D24" s="144" t="s">
        <v>57</v>
      </c>
      <c r="E24" s="150" t="s">
        <v>48</v>
      </c>
      <c r="F24" s="144" t="s">
        <v>49</v>
      </c>
      <c r="G24" s="119" t="s">
        <v>50</v>
      </c>
      <c r="H24" s="119"/>
      <c r="I24" s="119"/>
      <c r="J24" s="119"/>
      <c r="K24" s="119"/>
      <c r="L24" s="119"/>
      <c r="M24" s="145" t="s">
        <v>51</v>
      </c>
    </row>
    <row r="25" spans="1:13" ht="16.8">
      <c r="A25" s="148"/>
      <c r="B25" s="144"/>
      <c r="C25" s="144"/>
      <c r="D25" s="144"/>
      <c r="E25" s="150"/>
      <c r="F25" s="144"/>
      <c r="G25" s="119" t="s">
        <v>23</v>
      </c>
      <c r="H25" s="119"/>
      <c r="I25" s="119"/>
      <c r="J25" s="119" t="s">
        <v>24</v>
      </c>
      <c r="K25" s="119"/>
      <c r="L25" s="119"/>
      <c r="M25" s="146"/>
    </row>
    <row r="26" spans="1:13" ht="16.8">
      <c r="A26" s="149"/>
      <c r="B26" s="144"/>
      <c r="C26" s="144"/>
      <c r="D26" s="144"/>
      <c r="E26" s="150"/>
      <c r="F26" s="144"/>
      <c r="G26" s="91" t="s">
        <v>52</v>
      </c>
      <c r="H26" s="90" t="s">
        <v>53</v>
      </c>
      <c r="I26" s="91" t="s">
        <v>54</v>
      </c>
      <c r="J26" s="91" t="s">
        <v>52</v>
      </c>
      <c r="K26" s="91" t="s">
        <v>53</v>
      </c>
      <c r="L26" s="91" t="s">
        <v>54</v>
      </c>
      <c r="M26" s="146"/>
    </row>
    <row r="27" spans="1:13" ht="16.8">
      <c r="A27" s="141" t="s">
        <v>76</v>
      </c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1:13" ht="50.4">
      <c r="A28" s="70" t="s">
        <v>77</v>
      </c>
      <c r="B28" s="70" t="s">
        <v>78</v>
      </c>
      <c r="C28" s="70"/>
      <c r="D28" s="70"/>
      <c r="E28" s="70" t="s">
        <v>79</v>
      </c>
      <c r="F28" s="70" t="s">
        <v>79</v>
      </c>
      <c r="G28" s="93" t="s">
        <v>55</v>
      </c>
      <c r="H28" s="94">
        <v>45786</v>
      </c>
      <c r="I28" s="93" t="s">
        <v>73</v>
      </c>
      <c r="J28" s="93" t="s">
        <v>55</v>
      </c>
      <c r="K28" s="73"/>
      <c r="L28" s="37"/>
      <c r="M28" s="74"/>
    </row>
    <row r="29" spans="1:13" ht="33.6">
      <c r="A29" s="70" t="s">
        <v>80</v>
      </c>
      <c r="B29" s="70" t="s">
        <v>81</v>
      </c>
      <c r="C29" s="70"/>
      <c r="D29" s="70"/>
      <c r="E29" s="70" t="s">
        <v>82</v>
      </c>
      <c r="F29" s="70" t="s">
        <v>82</v>
      </c>
      <c r="G29" s="93" t="s">
        <v>55</v>
      </c>
      <c r="H29" s="94">
        <v>45786</v>
      </c>
      <c r="I29" s="93" t="s">
        <v>73</v>
      </c>
      <c r="J29" s="93" t="s">
        <v>55</v>
      </c>
      <c r="K29" s="73"/>
      <c r="L29" s="37"/>
      <c r="M29" s="74"/>
    </row>
    <row r="30" spans="1:13" ht="50.4">
      <c r="A30" s="70" t="s">
        <v>83</v>
      </c>
      <c r="B30" s="70" t="s">
        <v>84</v>
      </c>
      <c r="C30" s="70"/>
      <c r="D30" s="70"/>
      <c r="E30" s="70" t="s">
        <v>85</v>
      </c>
      <c r="F30" s="70" t="s">
        <v>85</v>
      </c>
      <c r="G30" s="93" t="s">
        <v>55</v>
      </c>
      <c r="H30" s="94">
        <v>45786</v>
      </c>
      <c r="I30" s="93" t="s">
        <v>73</v>
      </c>
      <c r="J30" s="93" t="s">
        <v>55</v>
      </c>
      <c r="K30" s="73"/>
      <c r="L30" s="37"/>
      <c r="M30" s="74"/>
    </row>
    <row r="31" spans="1:13" ht="50.4">
      <c r="A31" s="70" t="s">
        <v>86</v>
      </c>
      <c r="B31" s="70" t="s">
        <v>87</v>
      </c>
      <c r="C31" s="70"/>
      <c r="D31" s="70"/>
      <c r="E31" s="70" t="s">
        <v>88</v>
      </c>
      <c r="F31" s="70" t="s">
        <v>88</v>
      </c>
      <c r="G31" s="93" t="s">
        <v>55</v>
      </c>
      <c r="H31" s="94">
        <v>45786</v>
      </c>
      <c r="I31" s="93" t="s">
        <v>73</v>
      </c>
      <c r="J31" s="93" t="s">
        <v>55</v>
      </c>
      <c r="K31" s="73"/>
      <c r="L31" s="37"/>
      <c r="M31" s="74"/>
    </row>
    <row r="32" spans="1:13" ht="50.4">
      <c r="A32" s="70" t="s">
        <v>89</v>
      </c>
      <c r="B32" s="70" t="s">
        <v>90</v>
      </c>
      <c r="C32" s="70"/>
      <c r="D32" s="70"/>
      <c r="E32" s="70" t="s">
        <v>91</v>
      </c>
      <c r="F32" s="70" t="s">
        <v>92</v>
      </c>
      <c r="G32" s="93" t="s">
        <v>55</v>
      </c>
      <c r="H32" s="94">
        <v>45786</v>
      </c>
      <c r="I32" s="93" t="s">
        <v>73</v>
      </c>
      <c r="J32" s="93" t="s">
        <v>55</v>
      </c>
      <c r="K32" s="73"/>
      <c r="L32" s="37"/>
      <c r="M32" s="74"/>
    </row>
    <row r="33" spans="1:13" ht="33.6">
      <c r="A33" s="70" t="s">
        <v>93</v>
      </c>
      <c r="B33" s="70" t="s">
        <v>94</v>
      </c>
      <c r="C33" s="70"/>
      <c r="D33" s="70"/>
      <c r="E33" s="70" t="s">
        <v>95</v>
      </c>
      <c r="F33" s="70" t="s">
        <v>95</v>
      </c>
      <c r="G33" s="93" t="s">
        <v>55</v>
      </c>
      <c r="H33" s="94">
        <v>45786</v>
      </c>
      <c r="I33" s="93" t="s">
        <v>73</v>
      </c>
      <c r="J33" s="93" t="s">
        <v>55</v>
      </c>
      <c r="K33" s="73"/>
      <c r="L33" s="37"/>
      <c r="M33" s="74"/>
    </row>
    <row r="34" spans="1:13" ht="16.8">
      <c r="A34" s="110" t="s">
        <v>96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2"/>
    </row>
    <row r="35" spans="1:13" ht="84">
      <c r="A35" s="69" t="s">
        <v>97</v>
      </c>
      <c r="B35" s="69" t="s">
        <v>98</v>
      </c>
      <c r="C35" s="69" t="s">
        <v>99</v>
      </c>
      <c r="D35" s="74" t="s">
        <v>100</v>
      </c>
      <c r="E35" s="75" t="s">
        <v>101</v>
      </c>
      <c r="F35" s="75" t="s">
        <v>101</v>
      </c>
      <c r="G35" s="37" t="s">
        <v>55</v>
      </c>
      <c r="H35" s="94">
        <v>45786</v>
      </c>
      <c r="I35" s="37" t="s">
        <v>73</v>
      </c>
      <c r="J35" s="37" t="s">
        <v>55</v>
      </c>
      <c r="K35" s="73">
        <v>45789</v>
      </c>
      <c r="L35" s="37" t="s">
        <v>73</v>
      </c>
      <c r="M35" s="76"/>
    </row>
    <row r="36" spans="1:13" ht="84">
      <c r="A36" s="69" t="s">
        <v>102</v>
      </c>
      <c r="B36" s="69" t="s">
        <v>103</v>
      </c>
      <c r="C36" s="69" t="s">
        <v>104</v>
      </c>
      <c r="D36" s="74" t="s">
        <v>105</v>
      </c>
      <c r="E36" s="75" t="s">
        <v>106</v>
      </c>
      <c r="F36" s="75" t="s">
        <v>106</v>
      </c>
      <c r="G36" s="37" t="s">
        <v>55</v>
      </c>
      <c r="H36" s="94">
        <v>45786</v>
      </c>
      <c r="I36" s="37" t="s">
        <v>73</v>
      </c>
      <c r="J36" s="37" t="s">
        <v>55</v>
      </c>
      <c r="K36" s="73">
        <v>45789</v>
      </c>
      <c r="L36" s="37" t="s">
        <v>73</v>
      </c>
      <c r="M36" s="76"/>
    </row>
    <row r="37" spans="1:13" ht="100.8">
      <c r="A37" s="69" t="s">
        <v>107</v>
      </c>
      <c r="B37" s="75" t="s">
        <v>108</v>
      </c>
      <c r="C37" s="69" t="s">
        <v>109</v>
      </c>
      <c r="D37" s="74" t="s">
        <v>105</v>
      </c>
      <c r="E37" s="75" t="s">
        <v>110</v>
      </c>
      <c r="F37" s="75" t="s">
        <v>111</v>
      </c>
      <c r="G37" s="37" t="s">
        <v>112</v>
      </c>
      <c r="H37" s="94">
        <v>45786</v>
      </c>
      <c r="I37" s="37" t="s">
        <v>73</v>
      </c>
      <c r="J37" s="37" t="s">
        <v>55</v>
      </c>
      <c r="K37" s="73">
        <v>45789</v>
      </c>
      <c r="L37" s="37" t="s">
        <v>73</v>
      </c>
      <c r="M37" s="76"/>
    </row>
    <row r="38" spans="1:13" ht="84">
      <c r="A38" s="69" t="s">
        <v>113</v>
      </c>
      <c r="B38" s="75" t="s">
        <v>114</v>
      </c>
      <c r="C38" s="69" t="s">
        <v>115</v>
      </c>
      <c r="D38" s="74" t="s">
        <v>105</v>
      </c>
      <c r="E38" s="75" t="s">
        <v>116</v>
      </c>
      <c r="F38" s="75" t="s">
        <v>116</v>
      </c>
      <c r="G38" s="37" t="s">
        <v>55</v>
      </c>
      <c r="H38" s="94">
        <v>45786</v>
      </c>
      <c r="I38" s="37" t="s">
        <v>73</v>
      </c>
      <c r="J38" s="37" t="s">
        <v>55</v>
      </c>
      <c r="K38" s="73">
        <v>45789</v>
      </c>
      <c r="L38" s="37" t="s">
        <v>73</v>
      </c>
      <c r="M38" s="76"/>
    </row>
    <row r="39" spans="1:13" ht="33.6">
      <c r="A39" s="69" t="s">
        <v>117</v>
      </c>
      <c r="B39" s="75" t="s">
        <v>118</v>
      </c>
      <c r="C39" s="69" t="s">
        <v>119</v>
      </c>
      <c r="D39" s="74" t="s">
        <v>120</v>
      </c>
      <c r="E39" s="75" t="s">
        <v>121</v>
      </c>
      <c r="F39" s="75" t="s">
        <v>121</v>
      </c>
      <c r="G39" s="37" t="s">
        <v>55</v>
      </c>
      <c r="H39" s="94">
        <v>45786</v>
      </c>
      <c r="I39" s="37" t="s">
        <v>73</v>
      </c>
      <c r="J39" s="37" t="s">
        <v>55</v>
      </c>
      <c r="K39" s="73">
        <v>45789</v>
      </c>
      <c r="L39" s="37" t="s">
        <v>73</v>
      </c>
      <c r="M39" s="76"/>
    </row>
    <row r="40" spans="1:13" ht="50.4">
      <c r="A40" s="69" t="s">
        <v>122</v>
      </c>
      <c r="B40" s="75" t="s">
        <v>123</v>
      </c>
      <c r="C40" s="69" t="s">
        <v>124</v>
      </c>
      <c r="D40" s="74" t="s">
        <v>125</v>
      </c>
      <c r="E40" s="75" t="s">
        <v>126</v>
      </c>
      <c r="F40" s="75" t="s">
        <v>126</v>
      </c>
      <c r="G40" s="37" t="s">
        <v>55</v>
      </c>
      <c r="H40" s="94">
        <v>45786</v>
      </c>
      <c r="I40" s="37" t="s">
        <v>73</v>
      </c>
      <c r="J40" s="37" t="s">
        <v>55</v>
      </c>
      <c r="K40" s="73">
        <v>45789</v>
      </c>
      <c r="L40" s="37" t="s">
        <v>73</v>
      </c>
      <c r="M40" s="76"/>
    </row>
    <row r="41" spans="1:13" ht="50.4">
      <c r="A41" s="69" t="s">
        <v>127</v>
      </c>
      <c r="B41" s="75" t="s">
        <v>128</v>
      </c>
      <c r="C41" s="69" t="s">
        <v>129</v>
      </c>
      <c r="D41" s="74" t="s">
        <v>130</v>
      </c>
      <c r="E41" s="75" t="s">
        <v>131</v>
      </c>
      <c r="F41" s="75" t="s">
        <v>131</v>
      </c>
      <c r="G41" s="37" t="s">
        <v>55</v>
      </c>
      <c r="H41" s="94">
        <v>45786</v>
      </c>
      <c r="I41" s="37" t="s">
        <v>73</v>
      </c>
      <c r="J41" s="37" t="s">
        <v>55</v>
      </c>
      <c r="K41" s="73">
        <v>45789</v>
      </c>
      <c r="L41" s="37" t="s">
        <v>73</v>
      </c>
      <c r="M41" s="76"/>
    </row>
  </sheetData>
  <mergeCells count="14">
    <mergeCell ref="B1:F1"/>
    <mergeCell ref="B2:F2"/>
    <mergeCell ref="A27:M27"/>
    <mergeCell ref="A34:M34"/>
    <mergeCell ref="F24:F26"/>
    <mergeCell ref="G24:L24"/>
    <mergeCell ref="M24:M26"/>
    <mergeCell ref="G25:I25"/>
    <mergeCell ref="J25:L25"/>
    <mergeCell ref="A24:A26"/>
    <mergeCell ref="B24:B26"/>
    <mergeCell ref="C24:C26"/>
    <mergeCell ref="D24:D26"/>
    <mergeCell ref="E24:E26"/>
  </mergeCells>
  <phoneticPr fontId="26" type="noConversion"/>
  <dataValidations count="1">
    <dataValidation type="list" operator="equal" allowBlank="1" showErrorMessage="1" promptTitle="dfdf" sqref="G28:G33 J28:J33 G35:G41 J35:J41" xr:uid="{7436C80E-A4D6-4AFE-A7E6-31C300734D11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A5DD-EF0C-44C8-AF38-61EC931B5714}">
  <dimension ref="A1:N52"/>
  <sheetViews>
    <sheetView zoomScale="55" zoomScaleNormal="55" workbookViewId="0">
      <selection activeCell="E17" sqref="E17"/>
    </sheetView>
  </sheetViews>
  <sheetFormatPr defaultRowHeight="16.8"/>
  <cols>
    <col min="1" max="1" width="38.6640625" style="8" customWidth="1"/>
    <col min="2" max="2" width="34.88671875" style="100" customWidth="1"/>
    <col min="3" max="3" width="35" style="8" customWidth="1"/>
    <col min="4" max="4" width="39" style="8" customWidth="1"/>
    <col min="5" max="5" width="34.88671875" style="8" customWidth="1"/>
    <col min="6" max="6" width="31.88671875" style="8" customWidth="1"/>
    <col min="7" max="7" width="16.44140625" style="8" customWidth="1"/>
    <col min="8" max="8" width="15.5546875" style="8" customWidth="1"/>
    <col min="9" max="10" width="8.88671875" style="8"/>
    <col min="11" max="11" width="21.109375" style="8" customWidth="1"/>
    <col min="12" max="12" width="19.33203125" style="8" customWidth="1"/>
    <col min="13" max="16384" width="8.88671875" style="8"/>
  </cols>
  <sheetData>
    <row r="1" spans="1:6" ht="18.600000000000001">
      <c r="A1" s="77"/>
      <c r="B1" s="157" t="s">
        <v>252</v>
      </c>
      <c r="C1" s="157"/>
      <c r="D1" s="157"/>
      <c r="E1" s="157"/>
      <c r="F1" s="157"/>
    </row>
    <row r="2" spans="1:6">
      <c r="A2" s="77" t="s">
        <v>42</v>
      </c>
      <c r="B2" s="158" t="s">
        <v>132</v>
      </c>
      <c r="C2" s="158"/>
      <c r="D2" s="158"/>
      <c r="E2" s="158"/>
      <c r="F2" s="158"/>
    </row>
    <row r="3" spans="1:6" ht="36" customHeight="1">
      <c r="A3" s="78"/>
      <c r="B3" s="80" t="s">
        <v>15</v>
      </c>
      <c r="C3" s="79" t="s">
        <v>16</v>
      </c>
      <c r="D3" s="79" t="s">
        <v>43</v>
      </c>
      <c r="E3" s="80" t="s">
        <v>18</v>
      </c>
      <c r="F3" s="79" t="s">
        <v>56</v>
      </c>
    </row>
    <row r="4" spans="1:6">
      <c r="A4" s="81" t="s">
        <v>44</v>
      </c>
      <c r="B4" s="85">
        <v>21</v>
      </c>
      <c r="C4" s="78">
        <v>0</v>
      </c>
      <c r="D4" s="78">
        <v>0</v>
      </c>
      <c r="E4" s="78">
        <v>0</v>
      </c>
      <c r="F4" s="78">
        <f>B4</f>
        <v>21</v>
      </c>
    </row>
    <row r="5" spans="1:6">
      <c r="A5" s="81" t="s">
        <v>45</v>
      </c>
      <c r="B5" s="85">
        <v>9</v>
      </c>
      <c r="C5" s="78">
        <v>0</v>
      </c>
      <c r="D5" s="78">
        <v>0</v>
      </c>
      <c r="E5" s="78">
        <v>0</v>
      </c>
      <c r="F5" s="78">
        <f>B5</f>
        <v>9</v>
      </c>
    </row>
    <row r="27" spans="1:13">
      <c r="A27" s="154" t="s">
        <v>46</v>
      </c>
      <c r="B27" s="155" t="s">
        <v>5</v>
      </c>
      <c r="C27" s="154" t="s">
        <v>47</v>
      </c>
      <c r="D27" s="154" t="s">
        <v>57</v>
      </c>
      <c r="E27" s="155" t="s">
        <v>48</v>
      </c>
      <c r="F27" s="154" t="s">
        <v>49</v>
      </c>
      <c r="G27" s="119" t="s">
        <v>50</v>
      </c>
      <c r="H27" s="119"/>
      <c r="I27" s="119"/>
      <c r="J27" s="119"/>
      <c r="K27" s="119"/>
      <c r="L27" s="119"/>
      <c r="M27" s="119" t="s">
        <v>51</v>
      </c>
    </row>
    <row r="28" spans="1:13">
      <c r="A28" s="154"/>
      <c r="B28" s="155"/>
      <c r="C28" s="154"/>
      <c r="D28" s="154"/>
      <c r="E28" s="155"/>
      <c r="F28" s="154"/>
      <c r="G28" s="119" t="s">
        <v>23</v>
      </c>
      <c r="H28" s="119"/>
      <c r="I28" s="119"/>
      <c r="J28" s="119" t="s">
        <v>24</v>
      </c>
      <c r="K28" s="119"/>
      <c r="L28" s="119"/>
      <c r="M28" s="159"/>
    </row>
    <row r="29" spans="1:13">
      <c r="A29" s="154"/>
      <c r="B29" s="155"/>
      <c r="C29" s="154"/>
      <c r="D29" s="154"/>
      <c r="E29" s="155"/>
      <c r="F29" s="154"/>
      <c r="G29" s="91" t="s">
        <v>52</v>
      </c>
      <c r="H29" s="90" t="s">
        <v>53</v>
      </c>
      <c r="I29" s="91" t="s">
        <v>54</v>
      </c>
      <c r="J29" s="91" t="s">
        <v>52</v>
      </c>
      <c r="K29" s="91" t="s">
        <v>53</v>
      </c>
      <c r="L29" s="91" t="s">
        <v>54</v>
      </c>
      <c r="M29" s="159"/>
    </row>
    <row r="30" spans="1:13">
      <c r="A30" s="153" t="s">
        <v>222</v>
      </c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1"/>
    </row>
    <row r="31" spans="1:13" ht="33.6">
      <c r="A31" s="45" t="s">
        <v>224</v>
      </c>
      <c r="B31" s="45" t="s">
        <v>194</v>
      </c>
      <c r="C31" s="78"/>
      <c r="D31" s="74" t="s">
        <v>58</v>
      </c>
      <c r="E31" s="69" t="s">
        <v>60</v>
      </c>
      <c r="F31" s="69" t="s">
        <v>60</v>
      </c>
      <c r="G31" s="37" t="s">
        <v>55</v>
      </c>
      <c r="H31" s="73">
        <v>45788</v>
      </c>
      <c r="I31" s="37" t="s">
        <v>73</v>
      </c>
      <c r="J31" s="37" t="s">
        <v>55</v>
      </c>
      <c r="K31" s="87"/>
      <c r="L31" s="37"/>
      <c r="M31" s="78"/>
    </row>
    <row r="32" spans="1:13" ht="33.6">
      <c r="A32" s="45" t="s">
        <v>59</v>
      </c>
      <c r="B32" s="45" t="s">
        <v>195</v>
      </c>
      <c r="C32" s="78"/>
      <c r="D32" s="74" t="s">
        <v>58</v>
      </c>
      <c r="E32" s="69" t="s">
        <v>60</v>
      </c>
      <c r="F32" s="69" t="s">
        <v>60</v>
      </c>
      <c r="G32" s="37" t="s">
        <v>55</v>
      </c>
      <c r="H32" s="73">
        <v>45788</v>
      </c>
      <c r="I32" s="37" t="s">
        <v>73</v>
      </c>
      <c r="J32" s="37" t="s">
        <v>55</v>
      </c>
      <c r="K32" s="87"/>
      <c r="L32" s="37"/>
      <c r="M32" s="78"/>
    </row>
    <row r="33" spans="1:14" ht="50.4">
      <c r="A33" s="45" t="s">
        <v>61</v>
      </c>
      <c r="B33" s="45" t="s">
        <v>196</v>
      </c>
      <c r="C33" s="78"/>
      <c r="D33" s="74" t="s">
        <v>58</v>
      </c>
      <c r="E33" s="69" t="s">
        <v>205</v>
      </c>
      <c r="F33" s="69" t="s">
        <v>205</v>
      </c>
      <c r="G33" s="37" t="s">
        <v>55</v>
      </c>
      <c r="H33" s="73">
        <v>45788</v>
      </c>
      <c r="I33" s="37" t="s">
        <v>73</v>
      </c>
      <c r="J33" s="37" t="s">
        <v>55</v>
      </c>
      <c r="K33" s="87"/>
      <c r="L33" s="37"/>
      <c r="M33" s="78"/>
    </row>
    <row r="34" spans="1:14" ht="33.6">
      <c r="A34" s="45" t="s">
        <v>62</v>
      </c>
      <c r="B34" s="45" t="s">
        <v>197</v>
      </c>
      <c r="C34" s="78"/>
      <c r="D34" s="74" t="s">
        <v>58</v>
      </c>
      <c r="E34" s="69" t="s">
        <v>60</v>
      </c>
      <c r="F34" s="69" t="s">
        <v>60</v>
      </c>
      <c r="G34" s="37" t="s">
        <v>55</v>
      </c>
      <c r="H34" s="73">
        <v>45788</v>
      </c>
      <c r="I34" s="37" t="s">
        <v>73</v>
      </c>
      <c r="J34" s="37" t="s">
        <v>55</v>
      </c>
      <c r="K34" s="87"/>
      <c r="L34" s="37"/>
      <c r="M34" s="78"/>
    </row>
    <row r="35" spans="1:14" ht="33.6">
      <c r="A35" s="45" t="s">
        <v>63</v>
      </c>
      <c r="B35" s="45" t="s">
        <v>198</v>
      </c>
      <c r="C35" s="78"/>
      <c r="D35" s="74" t="s">
        <v>58</v>
      </c>
      <c r="E35" s="69" t="s">
        <v>60</v>
      </c>
      <c r="F35" s="69" t="s">
        <v>60</v>
      </c>
      <c r="G35" s="37" t="s">
        <v>55</v>
      </c>
      <c r="H35" s="73">
        <v>45788</v>
      </c>
      <c r="I35" s="37" t="s">
        <v>73</v>
      </c>
      <c r="J35" s="37" t="s">
        <v>55</v>
      </c>
      <c r="K35" s="87"/>
      <c r="L35" s="37"/>
      <c r="M35" s="78"/>
    </row>
    <row r="36" spans="1:14" ht="33.6">
      <c r="A36" s="45" t="s">
        <v>225</v>
      </c>
      <c r="B36" s="45" t="s">
        <v>199</v>
      </c>
      <c r="C36" s="78"/>
      <c r="D36" s="74" t="s">
        <v>58</v>
      </c>
      <c r="E36" s="69" t="s">
        <v>60</v>
      </c>
      <c r="F36" s="69" t="s">
        <v>60</v>
      </c>
      <c r="G36" s="37" t="s">
        <v>55</v>
      </c>
      <c r="H36" s="73">
        <v>45788</v>
      </c>
      <c r="I36" s="37" t="s">
        <v>73</v>
      </c>
      <c r="J36" s="37" t="s">
        <v>55</v>
      </c>
      <c r="K36" s="87"/>
      <c r="L36" s="37"/>
      <c r="M36" s="78"/>
    </row>
    <row r="37" spans="1:14" ht="50.4">
      <c r="A37" s="45" t="s">
        <v>226</v>
      </c>
      <c r="B37" s="45" t="s">
        <v>206</v>
      </c>
      <c r="C37" s="78"/>
      <c r="D37" s="74" t="s">
        <v>58</v>
      </c>
      <c r="E37" s="69" t="s">
        <v>205</v>
      </c>
      <c r="F37" s="69" t="s">
        <v>205</v>
      </c>
      <c r="G37" s="37" t="s">
        <v>55</v>
      </c>
      <c r="H37" s="73">
        <v>45788</v>
      </c>
      <c r="I37" s="37" t="s">
        <v>73</v>
      </c>
      <c r="J37" s="37" t="s">
        <v>55</v>
      </c>
      <c r="K37" s="87"/>
      <c r="L37" s="37"/>
      <c r="M37" s="78"/>
    </row>
    <row r="38" spans="1:14" ht="50.4">
      <c r="A38" s="45" t="s">
        <v>227</v>
      </c>
      <c r="B38" s="45" t="s">
        <v>200</v>
      </c>
      <c r="C38" s="78"/>
      <c r="D38" s="74" t="s">
        <v>58</v>
      </c>
      <c r="E38" s="69" t="s">
        <v>205</v>
      </c>
      <c r="F38" s="69" t="s">
        <v>205</v>
      </c>
      <c r="G38" s="37" t="s">
        <v>55</v>
      </c>
      <c r="H38" s="73">
        <v>45788</v>
      </c>
      <c r="I38" s="37" t="s">
        <v>73</v>
      </c>
      <c r="J38" s="37" t="s">
        <v>55</v>
      </c>
      <c r="K38" s="87"/>
      <c r="L38" s="37"/>
      <c r="M38" s="78"/>
    </row>
    <row r="39" spans="1:14" ht="50.4">
      <c r="A39" s="45" t="s">
        <v>228</v>
      </c>
      <c r="B39" s="45" t="s">
        <v>201</v>
      </c>
      <c r="C39" s="78"/>
      <c r="D39" s="74" t="s">
        <v>58</v>
      </c>
      <c r="E39" s="69" t="s">
        <v>64</v>
      </c>
      <c r="F39" s="69" t="s">
        <v>64</v>
      </c>
      <c r="G39" s="37" t="s">
        <v>55</v>
      </c>
      <c r="H39" s="73">
        <v>45788</v>
      </c>
      <c r="I39" s="37" t="s">
        <v>73</v>
      </c>
      <c r="J39" s="37" t="s">
        <v>55</v>
      </c>
      <c r="K39" s="87"/>
      <c r="L39" s="37"/>
      <c r="M39" s="78"/>
    </row>
    <row r="40" spans="1:14" ht="50.4">
      <c r="A40" s="45" t="s">
        <v>229</v>
      </c>
      <c r="B40" s="45" t="s">
        <v>202</v>
      </c>
      <c r="C40" s="78"/>
      <c r="D40" s="74" t="s">
        <v>58</v>
      </c>
      <c r="E40" s="69" t="s">
        <v>207</v>
      </c>
      <c r="F40" s="69" t="s">
        <v>207</v>
      </c>
      <c r="G40" s="37" t="s">
        <v>55</v>
      </c>
      <c r="H40" s="73">
        <v>45788</v>
      </c>
      <c r="I40" s="37" t="s">
        <v>73</v>
      </c>
      <c r="J40" s="37" t="s">
        <v>55</v>
      </c>
      <c r="K40" s="87"/>
      <c r="L40" s="37"/>
      <c r="M40" s="78"/>
    </row>
    <row r="41" spans="1:14" ht="50.4">
      <c r="A41" s="45" t="s">
        <v>230</v>
      </c>
      <c r="B41" s="45" t="s">
        <v>203</v>
      </c>
      <c r="C41" s="78"/>
      <c r="D41" s="74" t="s">
        <v>58</v>
      </c>
      <c r="E41" s="69" t="s">
        <v>208</v>
      </c>
      <c r="F41" s="69" t="s">
        <v>208</v>
      </c>
      <c r="G41" s="37" t="s">
        <v>55</v>
      </c>
      <c r="H41" s="73">
        <v>45788</v>
      </c>
      <c r="I41" s="37" t="s">
        <v>73</v>
      </c>
      <c r="J41" s="37" t="s">
        <v>55</v>
      </c>
      <c r="K41" s="87"/>
      <c r="L41" s="37"/>
      <c r="M41" s="78"/>
    </row>
    <row r="42" spans="1:14" ht="98.25" customHeight="1">
      <c r="A42" s="45" t="s">
        <v>231</v>
      </c>
      <c r="B42" s="45" t="s">
        <v>204</v>
      </c>
      <c r="C42" s="78"/>
      <c r="D42" s="74" t="s">
        <v>58</v>
      </c>
      <c r="E42" s="69" t="s">
        <v>205</v>
      </c>
      <c r="F42" s="69" t="s">
        <v>205</v>
      </c>
      <c r="G42" s="37" t="s">
        <v>55</v>
      </c>
      <c r="H42" s="73">
        <v>45788</v>
      </c>
      <c r="I42" s="37" t="s">
        <v>73</v>
      </c>
      <c r="J42" s="37" t="s">
        <v>55</v>
      </c>
      <c r="K42" s="87"/>
      <c r="L42" s="37"/>
      <c r="M42" s="78"/>
    </row>
    <row r="43" spans="1:14" ht="81.75" customHeight="1">
      <c r="A43" s="151" t="s">
        <v>223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6"/>
      <c r="N43" s="33"/>
    </row>
    <row r="44" spans="1:14" ht="144" customHeight="1">
      <c r="A44" s="69" t="s">
        <v>65</v>
      </c>
      <c r="B44" s="69" t="s">
        <v>209</v>
      </c>
      <c r="C44" s="69" t="s">
        <v>211</v>
      </c>
      <c r="D44" s="74" t="s">
        <v>58</v>
      </c>
      <c r="E44" s="75" t="s">
        <v>210</v>
      </c>
      <c r="F44" s="75" t="s">
        <v>210</v>
      </c>
      <c r="G44" s="37" t="s">
        <v>55</v>
      </c>
      <c r="H44" s="73">
        <v>45788</v>
      </c>
      <c r="I44" s="37" t="s">
        <v>73</v>
      </c>
      <c r="J44" s="37" t="s">
        <v>55</v>
      </c>
      <c r="K44" s="87">
        <v>45797</v>
      </c>
      <c r="L44" s="37" t="s">
        <v>73</v>
      </c>
      <c r="M44" s="78"/>
    </row>
    <row r="45" spans="1:14" ht="81.75" customHeight="1">
      <c r="A45" s="69" t="s">
        <v>66</v>
      </c>
      <c r="B45" s="69" t="s">
        <v>213</v>
      </c>
      <c r="C45" s="69" t="s">
        <v>211</v>
      </c>
      <c r="D45" s="74" t="s">
        <v>58</v>
      </c>
      <c r="E45" s="75" t="s">
        <v>210</v>
      </c>
      <c r="F45" s="75" t="s">
        <v>210</v>
      </c>
      <c r="G45" s="37" t="s">
        <v>55</v>
      </c>
      <c r="H45" s="73">
        <v>45788</v>
      </c>
      <c r="I45" s="37" t="s">
        <v>73</v>
      </c>
      <c r="J45" s="37" t="s">
        <v>55</v>
      </c>
      <c r="K45" s="87">
        <v>45797</v>
      </c>
      <c r="L45" s="37" t="s">
        <v>73</v>
      </c>
      <c r="M45" s="78"/>
    </row>
    <row r="46" spans="1:14" ht="81.75" customHeight="1">
      <c r="A46" s="69" t="s">
        <v>67</v>
      </c>
      <c r="B46" s="69" t="s">
        <v>212</v>
      </c>
      <c r="C46" s="69" t="s">
        <v>211</v>
      </c>
      <c r="D46" s="74" t="s">
        <v>58</v>
      </c>
      <c r="E46" s="75" t="s">
        <v>210</v>
      </c>
      <c r="F46" s="75" t="s">
        <v>210</v>
      </c>
      <c r="G46" s="37" t="s">
        <v>55</v>
      </c>
      <c r="H46" s="73">
        <v>45788</v>
      </c>
      <c r="I46" s="37" t="s">
        <v>73</v>
      </c>
      <c r="J46" s="37" t="s">
        <v>55</v>
      </c>
      <c r="K46" s="87">
        <v>45797</v>
      </c>
      <c r="L46" s="37" t="s">
        <v>73</v>
      </c>
      <c r="M46" s="78"/>
    </row>
    <row r="47" spans="1:14" ht="81.75" customHeight="1">
      <c r="A47" s="69" t="s">
        <v>68</v>
      </c>
      <c r="B47" s="69" t="s">
        <v>214</v>
      </c>
      <c r="C47" s="69" t="s">
        <v>211</v>
      </c>
      <c r="D47" s="74" t="s">
        <v>58</v>
      </c>
      <c r="E47" s="75" t="s">
        <v>210</v>
      </c>
      <c r="F47" s="75" t="s">
        <v>210</v>
      </c>
      <c r="G47" s="37" t="s">
        <v>55</v>
      </c>
      <c r="H47" s="73">
        <v>45788</v>
      </c>
      <c r="I47" s="37" t="s">
        <v>73</v>
      </c>
      <c r="J47" s="37" t="s">
        <v>55</v>
      </c>
      <c r="K47" s="87">
        <v>45797</v>
      </c>
      <c r="L47" s="37" t="s">
        <v>73</v>
      </c>
      <c r="M47" s="78"/>
    </row>
    <row r="48" spans="1:14" ht="81.75" customHeight="1">
      <c r="A48" s="69" t="s">
        <v>69</v>
      </c>
      <c r="B48" s="69" t="s">
        <v>215</v>
      </c>
      <c r="C48" s="69" t="s">
        <v>216</v>
      </c>
      <c r="D48" s="74" t="s">
        <v>58</v>
      </c>
      <c r="E48" s="75" t="s">
        <v>218</v>
      </c>
      <c r="F48" s="75" t="s">
        <v>218</v>
      </c>
      <c r="G48" s="37" t="s">
        <v>55</v>
      </c>
      <c r="H48" s="73">
        <v>45788</v>
      </c>
      <c r="I48" s="37" t="s">
        <v>73</v>
      </c>
      <c r="J48" s="37" t="s">
        <v>55</v>
      </c>
      <c r="K48" s="87">
        <v>45797</v>
      </c>
      <c r="L48" s="37" t="s">
        <v>73</v>
      </c>
      <c r="M48" s="78"/>
    </row>
    <row r="49" spans="1:13" ht="81.75" customHeight="1">
      <c r="A49" s="69" t="s">
        <v>70</v>
      </c>
      <c r="B49" s="69" t="s">
        <v>219</v>
      </c>
      <c r="C49" s="69" t="s">
        <v>211</v>
      </c>
      <c r="D49" s="74" t="s">
        <v>58</v>
      </c>
      <c r="E49" s="75" t="s">
        <v>210</v>
      </c>
      <c r="F49" s="75" t="s">
        <v>210</v>
      </c>
      <c r="G49" s="37" t="s">
        <v>55</v>
      </c>
      <c r="H49" s="73">
        <v>45788</v>
      </c>
      <c r="I49" s="37" t="s">
        <v>73</v>
      </c>
      <c r="J49" s="37" t="s">
        <v>55</v>
      </c>
      <c r="K49" s="87">
        <v>45797</v>
      </c>
      <c r="L49" s="37" t="s">
        <v>73</v>
      </c>
      <c r="M49" s="78"/>
    </row>
    <row r="50" spans="1:13" ht="50.4">
      <c r="A50" s="69" t="s">
        <v>173</v>
      </c>
      <c r="B50" s="69" t="s">
        <v>220</v>
      </c>
      <c r="C50" s="69" t="s">
        <v>211</v>
      </c>
      <c r="D50" s="74" t="s">
        <v>58</v>
      </c>
      <c r="E50" s="75" t="s">
        <v>210</v>
      </c>
      <c r="F50" s="75" t="s">
        <v>210</v>
      </c>
      <c r="G50" s="37" t="s">
        <v>55</v>
      </c>
      <c r="H50" s="73">
        <v>45788</v>
      </c>
      <c r="I50" s="37" t="s">
        <v>73</v>
      </c>
      <c r="J50" s="37" t="s">
        <v>55</v>
      </c>
      <c r="K50" s="87">
        <v>45797</v>
      </c>
      <c r="L50" s="37" t="s">
        <v>73</v>
      </c>
      <c r="M50" s="78"/>
    </row>
    <row r="51" spans="1:13" ht="50.4">
      <c r="A51" s="69" t="s">
        <v>174</v>
      </c>
      <c r="B51" s="69" t="s">
        <v>217</v>
      </c>
      <c r="C51" s="69" t="s">
        <v>211</v>
      </c>
      <c r="D51" s="74" t="s">
        <v>58</v>
      </c>
      <c r="E51" s="75" t="s">
        <v>210</v>
      </c>
      <c r="F51" s="75" t="s">
        <v>210</v>
      </c>
      <c r="G51" s="37" t="s">
        <v>55</v>
      </c>
      <c r="H51" s="73">
        <v>45788</v>
      </c>
      <c r="I51" s="37" t="s">
        <v>73</v>
      </c>
      <c r="J51" s="37" t="s">
        <v>55</v>
      </c>
      <c r="K51" s="87">
        <v>45797</v>
      </c>
      <c r="L51" s="37" t="s">
        <v>73</v>
      </c>
      <c r="M51" s="78"/>
    </row>
    <row r="52" spans="1:13" ht="50.4">
      <c r="A52" s="69" t="s">
        <v>175</v>
      </c>
      <c r="B52" s="69" t="s">
        <v>221</v>
      </c>
      <c r="C52" s="69" t="s">
        <v>211</v>
      </c>
      <c r="D52" s="74" t="s">
        <v>58</v>
      </c>
      <c r="E52" s="75" t="s">
        <v>210</v>
      </c>
      <c r="F52" s="75" t="s">
        <v>210</v>
      </c>
      <c r="G52" s="37" t="s">
        <v>55</v>
      </c>
      <c r="H52" s="73">
        <v>45788</v>
      </c>
      <c r="I52" s="37" t="s">
        <v>73</v>
      </c>
      <c r="J52" s="37" t="s">
        <v>55</v>
      </c>
      <c r="K52" s="87">
        <v>45797</v>
      </c>
      <c r="L52" s="37" t="s">
        <v>73</v>
      </c>
      <c r="M52" s="78"/>
    </row>
  </sheetData>
  <mergeCells count="14">
    <mergeCell ref="A43:M43"/>
    <mergeCell ref="B1:F1"/>
    <mergeCell ref="B2:F2"/>
    <mergeCell ref="A27:A29"/>
    <mergeCell ref="B27:B29"/>
    <mergeCell ref="C27:C29"/>
    <mergeCell ref="D27:D29"/>
    <mergeCell ref="E27:E29"/>
    <mergeCell ref="F27:F29"/>
    <mergeCell ref="G27:L27"/>
    <mergeCell ref="M27:M29"/>
    <mergeCell ref="G28:I28"/>
    <mergeCell ref="J28:L28"/>
    <mergeCell ref="A30:M30"/>
  </mergeCells>
  <phoneticPr fontId="26" type="noConversion"/>
  <dataValidations count="1">
    <dataValidation type="list" operator="equal" allowBlank="1" showErrorMessage="1" promptTitle="dfdf" sqref="J44:J52 G44:G52 J31:J42 G31:G42" xr:uid="{DDF19D38-85AC-4754-930F-98D21EEC599E}">
      <formula1>"Passed,Untested,Failed,Blocked"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Trường hợp kiểm thử</vt:lpstr>
      <vt:lpstr>Thanh toán Vnpay </vt:lpstr>
      <vt:lpstr>Báo cáo kiểm tra</vt:lpstr>
      <vt:lpstr>ChatBox</vt:lpstr>
      <vt:lpstr>Thanh toán COD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2025-11-27T11:30:43Z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2024-11-14T09:39:02Z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4abfca76-958e-4726-864a-3f12f6e2e8f2</vt:lpwstr>
  </property>
  <property fmtid="{D5CDD505-2E9C-101B-9397-08002B2CF9AE}" pid="8" name="MSIP_Label_defa4170-0d19-0005-0004-bc88714345d2_ContentBits">
    <vt:lpwstr>0</vt:lpwstr>
  </property>
</Properties>
</file>