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otNghiep\New folder\"/>
    </mc:Choice>
  </mc:AlternateContent>
  <xr:revisionPtr revIDLastSave="0" documentId="13_ncr:1_{B8519DB0-2365-4A14-80FB-CC60759110E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Sprint 1" sheetId="1" r:id="rId1"/>
    <sheet name="Sprint 2" sheetId="2" r:id="rId2"/>
    <sheet name="Sprint 3" sheetId="5" r:id="rId3"/>
    <sheet name="Tot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2" l="1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G43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G42" i="5"/>
  <c r="E12" i="5"/>
  <c r="D12" i="5"/>
  <c r="E11" i="5"/>
  <c r="D11" i="5"/>
  <c r="E10" i="5"/>
  <c r="D10" i="5"/>
  <c r="E9" i="5"/>
  <c r="D9" i="5"/>
  <c r="E8" i="5"/>
  <c r="D8" i="5"/>
  <c r="E13" i="5" l="1"/>
  <c r="D13" i="5"/>
  <c r="AE114" i="1"/>
  <c r="AF113" i="1"/>
  <c r="AF114" i="1"/>
  <c r="AD113" i="1"/>
  <c r="AD114" i="1"/>
  <c r="AC113" i="1"/>
  <c r="AC114" i="1"/>
  <c r="AA113" i="1"/>
  <c r="AA114" i="1"/>
  <c r="Y113" i="1"/>
  <c r="Y114" i="1"/>
  <c r="S113" i="1"/>
  <c r="S114" i="1"/>
  <c r="O114" i="1"/>
  <c r="N113" i="1"/>
  <c r="N114" i="1"/>
  <c r="M114" i="1"/>
  <c r="L113" i="1"/>
  <c r="L114" i="1"/>
  <c r="K113" i="1"/>
  <c r="K114" i="1"/>
  <c r="J113" i="1"/>
  <c r="J114" i="1"/>
  <c r="I113" i="1"/>
  <c r="I114" i="1"/>
  <c r="G108" i="2"/>
  <c r="AH109" i="2"/>
  <c r="AG108" i="2"/>
  <c r="AG109" i="2"/>
  <c r="AF108" i="2"/>
  <c r="AF109" i="2"/>
  <c r="AE108" i="2"/>
  <c r="AE109" i="2"/>
  <c r="AD108" i="2"/>
  <c r="AD109" i="2"/>
  <c r="AA109" i="2"/>
  <c r="Z109" i="2"/>
  <c r="Y108" i="2"/>
  <c r="Y109" i="2"/>
  <c r="U109" i="2"/>
  <c r="T109" i="2"/>
  <c r="S109" i="2"/>
  <c r="R109" i="2"/>
  <c r="Q108" i="2"/>
  <c r="Q109" i="2"/>
  <c r="P109" i="2"/>
  <c r="O108" i="2"/>
  <c r="O109" i="2"/>
  <c r="N109" i="2"/>
  <c r="M109" i="2"/>
  <c r="M108" i="2"/>
  <c r="K109" i="2"/>
  <c r="J108" i="2"/>
  <c r="J109" i="2"/>
  <c r="I109" i="2"/>
  <c r="I108" i="2"/>
  <c r="AC109" i="2"/>
  <c r="E11" i="1"/>
  <c r="E10" i="1"/>
  <c r="E9" i="1"/>
  <c r="E8" i="1"/>
  <c r="E12" i="1"/>
  <c r="D12" i="1"/>
  <c r="D11" i="1"/>
  <c r="D10" i="1"/>
  <c r="D9" i="1"/>
  <c r="D8" i="1"/>
  <c r="D12" i="2"/>
  <c r="D10" i="2"/>
  <c r="D11" i="2"/>
  <c r="D9" i="2"/>
  <c r="E8" i="2"/>
  <c r="E12" i="2"/>
  <c r="E11" i="2"/>
  <c r="E10" i="2"/>
  <c r="E9" i="2"/>
  <c r="W113" i="1"/>
  <c r="AJ109" i="2" l="1"/>
  <c r="AI109" i="2"/>
  <c r="R108" i="2"/>
  <c r="P108" i="2"/>
  <c r="N108" i="2"/>
  <c r="L109" i="2"/>
  <c r="L108" i="2"/>
  <c r="K108" i="2"/>
  <c r="AJ108" i="2"/>
  <c r="AI108" i="2"/>
  <c r="AH108" i="2"/>
  <c r="AC108" i="2"/>
  <c r="AB109" i="2"/>
  <c r="AB108" i="2"/>
  <c r="AA108" i="2"/>
  <c r="Z108" i="2"/>
  <c r="X109" i="2"/>
  <c r="X108" i="2"/>
  <c r="W109" i="2"/>
  <c r="W108" i="2"/>
  <c r="V109" i="2"/>
  <c r="V108" i="2"/>
  <c r="U108" i="2"/>
  <c r="T108" i="2"/>
  <c r="S108" i="2"/>
  <c r="G109" i="2"/>
  <c r="M113" i="1"/>
  <c r="AH114" i="1"/>
  <c r="AH113" i="1"/>
  <c r="AG114" i="1"/>
  <c r="AG113" i="1"/>
  <c r="AE113" i="1"/>
  <c r="AB114" i="1"/>
  <c r="AB113" i="1"/>
  <c r="Z114" i="1"/>
  <c r="Z113" i="1"/>
  <c r="X114" i="1"/>
  <c r="X113" i="1"/>
  <c r="W114" i="1"/>
  <c r="V114" i="1"/>
  <c r="V113" i="1"/>
  <c r="U114" i="1"/>
  <c r="U113" i="1"/>
  <c r="T114" i="1"/>
  <c r="T113" i="1"/>
  <c r="R114" i="1"/>
  <c r="R113" i="1"/>
  <c r="Q114" i="1"/>
  <c r="Q113" i="1"/>
  <c r="P114" i="1"/>
  <c r="P113" i="1"/>
  <c r="O113" i="1"/>
  <c r="G114" i="1" l="1"/>
  <c r="B4" i="4" l="1"/>
  <c r="D13" i="1"/>
  <c r="G113" i="1"/>
  <c r="K6" i="4" l="1"/>
  <c r="I6" i="4"/>
  <c r="G6" i="4"/>
  <c r="E6" i="4"/>
  <c r="C6" i="4"/>
  <c r="J6" i="4"/>
  <c r="H6" i="4"/>
  <c r="F6" i="4"/>
  <c r="D6" i="4"/>
  <c r="B6" i="4"/>
  <c r="J4" i="4" l="1"/>
  <c r="H4" i="4"/>
  <c r="F5" i="4"/>
  <c r="D5" i="4"/>
  <c r="B5" i="4"/>
  <c r="K5" i="4"/>
  <c r="I5" i="4"/>
  <c r="K4" i="4"/>
  <c r="I4" i="4"/>
  <c r="G5" i="4"/>
  <c r="G4" i="4"/>
  <c r="E5" i="4"/>
  <c r="E4" i="4"/>
  <c r="C5" i="4"/>
  <c r="C4" i="4"/>
  <c r="J5" i="4"/>
  <c r="H5" i="4"/>
  <c r="F4" i="4"/>
  <c r="D4" i="4"/>
  <c r="F7" i="4" l="1"/>
  <c r="D7" i="4"/>
  <c r="K7" i="4"/>
  <c r="B7" i="4"/>
  <c r="C7" i="4"/>
  <c r="G7" i="4"/>
  <c r="J7" i="4"/>
  <c r="E7" i="4"/>
  <c r="I7" i="4"/>
  <c r="H7" i="4"/>
  <c r="E13" i="2"/>
  <c r="D13" i="2"/>
  <c r="E13" i="1"/>
  <c r="C10" i="4" l="1"/>
  <c r="C11" i="4"/>
</calcChain>
</file>

<file path=xl/sharedStrings.xml><?xml version="1.0" encoding="utf-8"?>
<sst xmlns="http://schemas.openxmlformats.org/spreadsheetml/2006/main" count="510" uniqueCount="233">
  <si>
    <t>End date:</t>
  </si>
  <si>
    <t>Start date:</t>
  </si>
  <si>
    <t>Module name:</t>
  </si>
  <si>
    <t>Project name:</t>
  </si>
  <si>
    <t>Sprint 1</t>
  </si>
  <si>
    <t>SPRINT 1 REPORT</t>
  </si>
  <si>
    <t>No</t>
  </si>
  <si>
    <t>Sprint</t>
  </si>
  <si>
    <t>Compoment</t>
  </si>
  <si>
    <t>Task name</t>
  </si>
  <si>
    <t>Responsible Member</t>
  </si>
  <si>
    <t>Thực tế</t>
  </si>
  <si>
    <t>Tổng</t>
  </si>
  <si>
    <t>Họp kế hoạch Sprint</t>
  </si>
  <si>
    <t>Tạo Sprint Backlog 1</t>
  </si>
  <si>
    <t>Tạo tài liệu kiểm thử cho Sprint</t>
  </si>
  <si>
    <t>Giao diện đăng nhập</t>
  </si>
  <si>
    <t>Giao diện đăng ký</t>
  </si>
  <si>
    <t>User interface design</t>
  </si>
  <si>
    <t>Thiết kế trường kiểm thử cho đăng nhập</t>
  </si>
  <si>
    <t>Thiết kế trường kiểm thử cho đăng ký</t>
  </si>
  <si>
    <t>Review all test case of sprint 1</t>
  </si>
  <si>
    <t>Review all user interfaces of sprint 1</t>
  </si>
  <si>
    <t>Design test case</t>
  </si>
  <si>
    <t>Code back-end cho đăng ký</t>
  </si>
  <si>
    <t>Code back-end cho đăng nhập</t>
  </si>
  <si>
    <t xml:space="preserve">Integrate code </t>
  </si>
  <si>
    <t>Coding</t>
  </si>
  <si>
    <t>Kiểm tra đăng nhập</t>
  </si>
  <si>
    <t>Kiểm tra đăng ký</t>
  </si>
  <si>
    <t>Testing</t>
  </si>
  <si>
    <t>Sửa lỗi đăng nhập</t>
  </si>
  <si>
    <t>Sửa lỗi đăng ký</t>
  </si>
  <si>
    <t>Fix Bug</t>
  </si>
  <si>
    <t>Kiểm tra lại đăng ký</t>
  </si>
  <si>
    <t>Kiểm tra lại quên mật khẩu</t>
  </si>
  <si>
    <t>Sprint 1 review meeting</t>
  </si>
  <si>
    <t>Sprint 1 retrospective</t>
  </si>
  <si>
    <t>Release Sprint 1</t>
  </si>
  <si>
    <t>Sprint 2</t>
  </si>
  <si>
    <t>SPRINT 2 REPORT</t>
  </si>
  <si>
    <t>Release Sprint 2</t>
  </si>
  <si>
    <t>Re-testing</t>
  </si>
  <si>
    <t>Kiểm tra lại đăng nhập</t>
  </si>
  <si>
    <t>Thiết kế trường kiểm thử cho giỏ hàng</t>
  </si>
  <si>
    <t>Code back-end cho giỏ hàng</t>
  </si>
  <si>
    <t>Kiểm tra giỏ hàng</t>
  </si>
  <si>
    <t>Kiểm tra lại giỏ hàng</t>
  </si>
  <si>
    <t>Sửa lỗi giỏ hàng</t>
  </si>
  <si>
    <t>Sprint 2 review meeting</t>
  </si>
  <si>
    <t>Sprint 2 retrospective</t>
  </si>
  <si>
    <t>Tạo Sprint Backlog 2</t>
  </si>
  <si>
    <t>Review all user interfaces of sprint 2</t>
  </si>
  <si>
    <t>Review all test case of sprint 2</t>
  </si>
  <si>
    <t>All team</t>
  </si>
  <si>
    <t>Ước tính</t>
  </si>
  <si>
    <t>Thành viên</t>
  </si>
  <si>
    <t>SPRINT BACKLOG REPORT</t>
  </si>
  <si>
    <t>FINAL TOTAL</t>
  </si>
  <si>
    <t>Trước thời hạn</t>
  </si>
  <si>
    <t>Chậm tiến độ</t>
  </si>
  <si>
    <t>Muộn</t>
  </si>
  <si>
    <t>Tăng ca</t>
  </si>
  <si>
    <t>Kết thúc</t>
  </si>
  <si>
    <t>CoffeeGo-Nền tảng đặt bàn quán cà phê tích hợp AI 
Assistan và thanh toán điện tử</t>
  </si>
  <si>
    <t>Sprint 3</t>
  </si>
  <si>
    <t>Nguyễn Quang Đạt</t>
  </si>
  <si>
    <t>Phan Xuân Đức</t>
  </si>
  <si>
    <t>Phạm Tuấn Huy</t>
  </si>
  <si>
    <t>Nguyễn Văn Khánh</t>
  </si>
  <si>
    <t>Hoàng Trọng Tấn</t>
  </si>
  <si>
    <t>Giao diện quên mật khẩu</t>
  </si>
  <si>
    <t>Giao diện quản lý loại bài viết</t>
  </si>
  <si>
    <t>Giao diện quản lý bài viết</t>
  </si>
  <si>
    <t>Giao diện quản lý danh mục sản phẩm</t>
  </si>
  <si>
    <t>Giao diện quản lý sản phẩm</t>
  </si>
  <si>
    <t>Giao diện quản lý công thức</t>
  </si>
  <si>
    <t>Giao diện bài viết</t>
  </si>
  <si>
    <t>Thiết kế trường kiểm thử cho quên mật khẩu</t>
  </si>
  <si>
    <t>Thiết kế trường kiểm thử cho lịch sử đặt hàng</t>
  </si>
  <si>
    <t>Thiết kế trường kiểm thử cho quản lý loại bài viết</t>
  </si>
  <si>
    <t>Thiết kế trường kiểm thử cho quản lý bài viết</t>
  </si>
  <si>
    <t>Thiết kế trường kiểm thử cho quản lý danh mục sản phẩm</t>
  </si>
  <si>
    <t>Thiết kế trường kiểm thử cho quản lý sản phẩm</t>
  </si>
  <si>
    <t>Thiết kế trường kiểm thử cho quản lý công thức</t>
  </si>
  <si>
    <t>Thiết kế trường kiểm thử cho bài viết</t>
  </si>
  <si>
    <t>Thiết kế front-end cho đăng ký</t>
  </si>
  <si>
    <t>Thiết kế front-end cho đăng nhập</t>
  </si>
  <si>
    <t>Thiết kế front-end cho quên mật khẩu</t>
  </si>
  <si>
    <t>Thiết kế front-end cho giỏ hàng</t>
  </si>
  <si>
    <t>Thiết kế front-end cho quản lý loại bài viết</t>
  </si>
  <si>
    <t>Thiết kế front-end cho quản lý bài viết</t>
  </si>
  <si>
    <t>Thiết kế front-end cho quản lý danh mục sản phẩm</t>
  </si>
  <si>
    <t>Thiết kế front-end cho quản lý sản phẩm</t>
  </si>
  <si>
    <t>Thiết kế front-end cho quản lý công thức</t>
  </si>
  <si>
    <t>Thiết kế front-end cho bài viết</t>
  </si>
  <si>
    <t>Code back-end cho quên mật khẩu</t>
  </si>
  <si>
    <t>Code back-end cho lịch sử đặt hàng</t>
  </si>
  <si>
    <t>Code back-end cho quản lý loại bài viết</t>
  </si>
  <si>
    <t>Code back-end cho quản lý bài viết</t>
  </si>
  <si>
    <t>Code back-end cho quản lý danh mục sản phẩm</t>
  </si>
  <si>
    <t>Code back-end cho quản lý sản phẩm</t>
  </si>
  <si>
    <t>Code back-end cho bài viết</t>
  </si>
  <si>
    <t>Kiểm tra quên mật khẩu</t>
  </si>
  <si>
    <t>Kiểm tra lịch sử đặt hàng</t>
  </si>
  <si>
    <t>Kiểm tra quản lý loại bài viết</t>
  </si>
  <si>
    <t>Kiểm tra quản lý bài viết</t>
  </si>
  <si>
    <t>Kiểm tra quản lý danh mục sản phẩm</t>
  </si>
  <si>
    <t>Kiểm tra quản lý sản phẩm</t>
  </si>
  <si>
    <t>Kiểm tra quản lý công thức</t>
  </si>
  <si>
    <t>Kiểm tra bài viết</t>
  </si>
  <si>
    <t>Sửa lỗi quên mật khẩu</t>
  </si>
  <si>
    <t>Sửa lỗi lịch sử đặt hàng</t>
  </si>
  <si>
    <t>Sửa lỗi quản lý loại bài viết</t>
  </si>
  <si>
    <t>Sửa lỗi quản lý bài viết</t>
  </si>
  <si>
    <t>Sửa lỗi quản lý danh mục sản phẩm</t>
  </si>
  <si>
    <t>Sửa lỗi quản lý sản phẩm</t>
  </si>
  <si>
    <t>Sửa lỗi quản lý công thức</t>
  </si>
  <si>
    <t>Sửa lỗi bài viết</t>
  </si>
  <si>
    <t>Kiểm tra lại lịch sử đặt hàng</t>
  </si>
  <si>
    <t>Kiểm tra lại quản lý loại bài viết</t>
  </si>
  <si>
    <t>Kiểm tra lại quản lý bài viết</t>
  </si>
  <si>
    <t>Kiểm tra lại quản lý danh mục sản phẩm</t>
  </si>
  <si>
    <t>Kiểm tra lại quản lý sản phẩm</t>
  </si>
  <si>
    <t>Kiểm tra lại quản lý công thức</t>
  </si>
  <si>
    <t>Kiểm tra lại bài viết</t>
  </si>
  <si>
    <t>Huy,Đức</t>
  </si>
  <si>
    <t>Khánh,Tấn</t>
  </si>
  <si>
    <t>Đức</t>
  </si>
  <si>
    <t>Khánh</t>
  </si>
  <si>
    <t>Huy</t>
  </si>
  <si>
    <t>Tấn</t>
  </si>
  <si>
    <t>Đạt</t>
  </si>
  <si>
    <t>Đạt,Huy</t>
  </si>
  <si>
    <t>Đạt,Đức</t>
  </si>
  <si>
    <t>Đạt,Khánh</t>
  </si>
  <si>
    <t>Đạt,Tấn</t>
  </si>
  <si>
    <t>CoffeeGo-Nền tảng đặt bàn quán cà phê tích hợp 
AI Assistan và thanh toán điện tử</t>
  </si>
  <si>
    <t>Giao diện đổi mật khẩu</t>
  </si>
  <si>
    <t>Giao diện đặt bàn</t>
  </si>
  <si>
    <t>Giao diện Order</t>
  </si>
  <si>
    <t>Giao diện quản lý người dùng</t>
  </si>
  <si>
    <t>Giao diện quản lý bàn</t>
  </si>
  <si>
    <t>Giao diện quản lý đặt hàng</t>
  </si>
  <si>
    <t>Giao diện quản lý thống kê</t>
  </si>
  <si>
    <t>Giao diện quản lý kho</t>
  </si>
  <si>
    <t>Thiết kế trường kiểm thử cho đổi mật khẩu</t>
  </si>
  <si>
    <t>Thiết kế trường kiểm thử cho đặt bàn</t>
  </si>
  <si>
    <t>Thiết kế trường kiểm thử cho Order</t>
  </si>
  <si>
    <t>Thiết kế trường kiểm thử cho quản lý người dùng</t>
  </si>
  <si>
    <t>Thiết kế trường kiểm thử cho quản lý bàn</t>
  </si>
  <si>
    <t>Thiết kế trường kiểm thử choquản lý đặt hàng</t>
  </si>
  <si>
    <t>Thiết kế trường kiểm thử cho quản lý thống kê</t>
  </si>
  <si>
    <t>Thiết kế trường kiểm thử cho quản lý kho</t>
  </si>
  <si>
    <t>Thiết kế front-end cho đổi mật khẩu</t>
  </si>
  <si>
    <t>Thiết kế front-end cho đặt bàn</t>
  </si>
  <si>
    <t>Thiết kế front-end cho Order</t>
  </si>
  <si>
    <t>Thiết kế front-end cho quản lý người dùng</t>
  </si>
  <si>
    <t>Thiết kế front-end cho quản lý bàn</t>
  </si>
  <si>
    <t>Thiết kế front-end cho quản lý đặt hàng</t>
  </si>
  <si>
    <t>Thiết kế front-end cho quản lý thống kê</t>
  </si>
  <si>
    <t>Thiết kế front-end cho quản lý kho</t>
  </si>
  <si>
    <t>Code back-end cho đổi mật khẩu</t>
  </si>
  <si>
    <t>Code back-end cho đặt bàn</t>
  </si>
  <si>
    <t>Code back-end cho Order</t>
  </si>
  <si>
    <t>Code back-end cho quản lý người dùng</t>
  </si>
  <si>
    <t>Code back-end cho quản lý bàn</t>
  </si>
  <si>
    <t>Code back-end cho quản lý đặt hàng</t>
  </si>
  <si>
    <t>Code back-end cho quản lý thống kê</t>
  </si>
  <si>
    <t>Code back-end cho quản lý kho</t>
  </si>
  <si>
    <t>Kiểm tra đổi mật khẩu</t>
  </si>
  <si>
    <t>Kiểm tra đặt bàn</t>
  </si>
  <si>
    <t>Kiểm tra Order</t>
  </si>
  <si>
    <t>Kiểm tra quản lý người dùng</t>
  </si>
  <si>
    <t>Kiểm tra quản lý bàn</t>
  </si>
  <si>
    <t>Kiểm tra quản lý đặt hàng</t>
  </si>
  <si>
    <t>Kiểm tra quản lý thống kê</t>
  </si>
  <si>
    <t>Kiểm tra quản lý kho</t>
  </si>
  <si>
    <t>Sửa lỗi đổi mật khẩu</t>
  </si>
  <si>
    <t>Sửa lỗi đặt bàn</t>
  </si>
  <si>
    <t>Sửa lỗi Order</t>
  </si>
  <si>
    <t>Sửa lỗi quản lý người dùng</t>
  </si>
  <si>
    <t>Sửa lỗi quản lý bàn</t>
  </si>
  <si>
    <t>Sửa lỗi quản lý đặt hàng</t>
  </si>
  <si>
    <t>Sửa lỗi quản lý thống kê</t>
  </si>
  <si>
    <t>Sửa lỗi quản lý kho</t>
  </si>
  <si>
    <t>Kiểm tra lại đổi mật khẩu</t>
  </si>
  <si>
    <t>Kiểm tra lại đặt bàn</t>
  </si>
  <si>
    <t>Kiểm tra lại Order</t>
  </si>
  <si>
    <t>Kiểm tra lại quản lý người dùng</t>
  </si>
  <si>
    <t>Kiểm tra lại quản lý bàn</t>
  </si>
  <si>
    <t>Kiểm tra lại quản lý đặt hàng</t>
  </si>
  <si>
    <t>Kiểm tra lại quản lý thống kê</t>
  </si>
  <si>
    <t>Kiểm tra lại quản lý kho</t>
  </si>
  <si>
    <t>Tạo Sprint Backlog 3</t>
  </si>
  <si>
    <t>Giao diện Chatbot AI</t>
  </si>
  <si>
    <t>Giao diện Thanh toán</t>
  </si>
  <si>
    <t>Thiết kế trường kiểm thử cho chatbot AI</t>
  </si>
  <si>
    <t>Thiết kế trường kiểm thử cho thanh toán</t>
  </si>
  <si>
    <t>Code back-end cho Thanh toán</t>
  </si>
  <si>
    <t>Code back-end cho chatbot AI</t>
  </si>
  <si>
    <t>Đức,Tấn</t>
  </si>
  <si>
    <t>Huy,Khánh</t>
  </si>
  <si>
    <t>Kiểm tra chatbot AI</t>
  </si>
  <si>
    <t>Kiểm tra thanh toán</t>
  </si>
  <si>
    <t>Sửa lỗi chatbot AI</t>
  </si>
  <si>
    <t>Kiểm tra lại chatbot AI</t>
  </si>
  <si>
    <t>Sửa lỗi thanh toán</t>
  </si>
  <si>
    <t>Kiểm tra lại thanh toán</t>
  </si>
  <si>
    <t>Code back-end cho quản lý công thức</t>
  </si>
  <si>
    <t>Thiết kế front-end cho lich sử đặt hàng</t>
  </si>
  <si>
    <t>Kiểm tra lại quản lý khuyến mãi</t>
  </si>
  <si>
    <t>Sửa lỗi quản lý khuyến mãi</t>
  </si>
  <si>
    <t>Kiểm tra quản lý khuyến mãi</t>
  </si>
  <si>
    <t>Thiết kế front-end cho quản lý khuyến mãi</t>
  </si>
  <si>
    <t>Code back-end cho quản lý khuyến mãi</t>
  </si>
  <si>
    <t>Thiết kế trường kiểm thử cho quản lý khuyến mãi</t>
  </si>
  <si>
    <t>Giao diện quản lý khuyến mãi</t>
  </si>
  <si>
    <t>Giao diện quản lý đặt bàn</t>
  </si>
  <si>
    <t>Thiết kế trường kiểm thử cho quản lý đặt bàn</t>
  </si>
  <si>
    <t>Thiết kế front-end cho quản lý đặt bàn</t>
  </si>
  <si>
    <t>Code back-end cho quản lý đặt bàn</t>
  </si>
  <si>
    <t>Kiểm tra quản lý đặt bàn</t>
  </si>
  <si>
    <t>Sửa lỗi quản lý đặt bàn</t>
  </si>
  <si>
    <t>Kiểm tra lại quản lý đặt bàn</t>
  </si>
  <si>
    <t>Giao diện giỏ hàng</t>
  </si>
  <si>
    <t>Giao diện lịch sử đặt hàng</t>
  </si>
  <si>
    <t>Release Sprint 3</t>
  </si>
  <si>
    <t>Sprint 3 review meeting</t>
  </si>
  <si>
    <t>Sprint 3 retrospective</t>
  </si>
  <si>
    <t>SPRINT 3 REPORT</t>
  </si>
  <si>
    <t>Thiết kế front-end cho chatbot AI</t>
  </si>
  <si>
    <t>Thiết kế front-end cho thanh toán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</si>
</sst>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" x14ac:knownFonts="1">
    <font>
      <sz val="11"/>
      <color theme="1"/>
      <name val="Calibri"/>
      <family val="2"/>
      <charset val="163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name val="Times New Roman"/>
      <family val="1"/>
    </font>
    <font>
      <sz val="8"/>
      <name val="Calibri"/>
      <family val="2"/>
      <charset val="163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0F03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2" xfId="0" applyFont="1" applyBorder="1"/>
    <xf numFmtId="14" fontId="1" fillId="0" borderId="2" xfId="0" applyNumberFormat="1" applyFont="1" applyBorder="1" applyAlignment="1">
      <alignment horizontal="left"/>
    </xf>
    <xf numFmtId="0" fontId="2" fillId="5" borderId="2" xfId="0" applyFont="1" applyFill="1" applyBorder="1"/>
    <xf numFmtId="0" fontId="2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1" fillId="9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0" fontId="1" fillId="3" borderId="6" xfId="0" applyFont="1" applyFill="1" applyBorder="1"/>
    <xf numFmtId="0" fontId="1" fillId="8" borderId="6" xfId="0" applyFont="1" applyFill="1" applyBorder="1"/>
    <xf numFmtId="0" fontId="1" fillId="4" borderId="8" xfId="0" applyFont="1" applyFill="1" applyBorder="1"/>
    <xf numFmtId="0" fontId="3" fillId="0" borderId="10" xfId="0" applyFont="1" applyBorder="1" applyAlignment="1">
      <alignment vertical="center" wrapText="1"/>
    </xf>
    <xf numFmtId="0" fontId="2" fillId="5" borderId="1" xfId="0" applyFont="1" applyFill="1" applyBorder="1"/>
    <xf numFmtId="0" fontId="2" fillId="0" borderId="1" xfId="0" applyFont="1" applyBorder="1" applyAlignment="1">
      <alignment textRotation="90" wrapText="1"/>
    </xf>
    <xf numFmtId="164" fontId="2" fillId="0" borderId="1" xfId="0" applyNumberFormat="1" applyFont="1" applyBorder="1" applyAlignment="1">
      <alignment textRotation="90" wrapText="1"/>
    </xf>
    <xf numFmtId="0" fontId="1" fillId="0" borderId="1" xfId="0" applyFont="1" applyBorder="1"/>
    <xf numFmtId="0" fontId="1" fillId="2" borderId="1" xfId="0" applyFont="1" applyFill="1" applyBorder="1"/>
    <xf numFmtId="0" fontId="2" fillId="12" borderId="1" xfId="0" applyFont="1" applyFill="1" applyBorder="1"/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11" borderId="9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2" fillId="11" borderId="8" xfId="0" applyFont="1" applyFill="1" applyBorder="1" applyAlignment="1">
      <alignment horizontal="left" vertical="center"/>
    </xf>
    <xf numFmtId="0" fontId="1" fillId="11" borderId="6" xfId="0" applyFont="1" applyFill="1" applyBorder="1"/>
    <xf numFmtId="0" fontId="1" fillId="0" borderId="7" xfId="0" applyFont="1" applyBorder="1"/>
    <xf numFmtId="0" fontId="1" fillId="11" borderId="8" xfId="0" applyFont="1" applyFill="1" applyBorder="1"/>
    <xf numFmtId="0" fontId="1" fillId="0" borderId="10" xfId="0" applyFont="1" applyBorder="1"/>
    <xf numFmtId="0" fontId="2" fillId="0" borderId="2" xfId="0" applyFont="1" applyBorder="1" applyAlignment="1">
      <alignment wrapText="1"/>
    </xf>
    <xf numFmtId="0" fontId="1" fillId="0" borderId="18" xfId="0" applyFont="1" applyFill="1" applyBorder="1"/>
    <xf numFmtId="0" fontId="1" fillId="0" borderId="18" xfId="0" applyFont="1" applyBorder="1" applyAlignment="1">
      <alignment vertical="center" wrapText="1"/>
    </xf>
    <xf numFmtId="0" fontId="1" fillId="0" borderId="14" xfId="0" applyFont="1" applyBorder="1"/>
    <xf numFmtId="0" fontId="1" fillId="0" borderId="18" xfId="0" applyFont="1" applyBorder="1"/>
    <xf numFmtId="0" fontId="1" fillId="0" borderId="1" xfId="0" applyFont="1" applyBorder="1" applyAlignment="1">
      <alignment horizontal="left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10" borderId="5" xfId="0" applyFont="1" applyFill="1" applyBorder="1" applyAlignment="1">
      <alignment horizontal="center"/>
    </xf>
    <xf numFmtId="0" fontId="2" fillId="10" borderId="11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vertical="center"/>
    </xf>
    <xf numFmtId="0" fontId="1" fillId="10" borderId="6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0F035"/>
      <color rgb="FFCC00CC"/>
      <color rgb="FFFF66CC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1'!$I$15:$AH$15</c:f>
              <c:numCache>
                <c:formatCode>dd/mm</c:formatCode>
                <c:ptCount val="26"/>
                <c:pt idx="0">
                  <c:v>45935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</c:numCache>
            </c:numRef>
          </c:cat>
          <c:val>
            <c:numRef>
              <c:f>'Sprint 1'!$I$113:$AH$113</c:f>
              <c:numCache>
                <c:formatCode>General</c:formatCode>
                <c:ptCount val="26"/>
                <c:pt idx="0">
                  <c:v>212</c:v>
                </c:pt>
                <c:pt idx="1">
                  <c:v>182.5</c:v>
                </c:pt>
                <c:pt idx="2">
                  <c:v>172.5</c:v>
                </c:pt>
                <c:pt idx="3">
                  <c:v>156</c:v>
                </c:pt>
                <c:pt idx="4">
                  <c:v>154</c:v>
                </c:pt>
                <c:pt idx="5">
                  <c:v>149</c:v>
                </c:pt>
                <c:pt idx="6">
                  <c:v>145</c:v>
                </c:pt>
                <c:pt idx="7">
                  <c:v>145</c:v>
                </c:pt>
                <c:pt idx="8">
                  <c:v>139</c:v>
                </c:pt>
                <c:pt idx="9">
                  <c:v>139</c:v>
                </c:pt>
                <c:pt idx="10">
                  <c:v>134</c:v>
                </c:pt>
                <c:pt idx="11">
                  <c:v>133</c:v>
                </c:pt>
                <c:pt idx="12">
                  <c:v>127</c:v>
                </c:pt>
                <c:pt idx="13">
                  <c:v>127</c:v>
                </c:pt>
                <c:pt idx="14">
                  <c:v>123</c:v>
                </c:pt>
                <c:pt idx="15">
                  <c:v>123</c:v>
                </c:pt>
                <c:pt idx="16">
                  <c:v>114</c:v>
                </c:pt>
                <c:pt idx="17">
                  <c:v>109</c:v>
                </c:pt>
                <c:pt idx="18">
                  <c:v>108</c:v>
                </c:pt>
                <c:pt idx="19">
                  <c:v>98.5</c:v>
                </c:pt>
                <c:pt idx="20">
                  <c:v>84.5</c:v>
                </c:pt>
                <c:pt idx="21">
                  <c:v>65</c:v>
                </c:pt>
                <c:pt idx="22">
                  <c:v>49</c:v>
                </c:pt>
                <c:pt idx="23">
                  <c:v>30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B2-4205-BBCE-367A6429A81F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1'!$I$15:$AH$15</c:f>
              <c:numCache>
                <c:formatCode>dd/mm</c:formatCode>
                <c:ptCount val="26"/>
                <c:pt idx="0">
                  <c:v>45935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</c:numCache>
            </c:numRef>
          </c:cat>
          <c:val>
            <c:numRef>
              <c:f>'Sprint 1'!$I$114:$AH$114</c:f>
              <c:numCache>
                <c:formatCode>General</c:formatCode>
                <c:ptCount val="26"/>
                <c:pt idx="0">
                  <c:v>214</c:v>
                </c:pt>
                <c:pt idx="1">
                  <c:v>185</c:v>
                </c:pt>
                <c:pt idx="2">
                  <c:v>172</c:v>
                </c:pt>
                <c:pt idx="3">
                  <c:v>159</c:v>
                </c:pt>
                <c:pt idx="4">
                  <c:v>154</c:v>
                </c:pt>
                <c:pt idx="5">
                  <c:v>150</c:v>
                </c:pt>
                <c:pt idx="6">
                  <c:v>145</c:v>
                </c:pt>
                <c:pt idx="7">
                  <c:v>145</c:v>
                </c:pt>
                <c:pt idx="8">
                  <c:v>139</c:v>
                </c:pt>
                <c:pt idx="9">
                  <c:v>139</c:v>
                </c:pt>
                <c:pt idx="10">
                  <c:v>133</c:v>
                </c:pt>
                <c:pt idx="11">
                  <c:v>133</c:v>
                </c:pt>
                <c:pt idx="12">
                  <c:v>127</c:v>
                </c:pt>
                <c:pt idx="13">
                  <c:v>127</c:v>
                </c:pt>
                <c:pt idx="14">
                  <c:v>123</c:v>
                </c:pt>
                <c:pt idx="15">
                  <c:v>123</c:v>
                </c:pt>
                <c:pt idx="16">
                  <c:v>113</c:v>
                </c:pt>
                <c:pt idx="17">
                  <c:v>109</c:v>
                </c:pt>
                <c:pt idx="18">
                  <c:v>106</c:v>
                </c:pt>
                <c:pt idx="19">
                  <c:v>98.5</c:v>
                </c:pt>
                <c:pt idx="20">
                  <c:v>85</c:v>
                </c:pt>
                <c:pt idx="21">
                  <c:v>64</c:v>
                </c:pt>
                <c:pt idx="22">
                  <c:v>49</c:v>
                </c:pt>
                <c:pt idx="23">
                  <c:v>28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B2-4205-BBCE-367A6429A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6424"/>
        <c:axId val="226294464"/>
      </c:lineChart>
      <c:dateAx>
        <c:axId val="22629642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4464"/>
        <c:crosses val="autoZero"/>
        <c:auto val="1"/>
        <c:lblOffset val="100"/>
        <c:baseTimeUnit val="days"/>
      </c:dateAx>
      <c:valAx>
        <c:axId val="2262944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6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Burndown Chart of Sprint 1</a:t>
            </a:r>
          </a:p>
        </c:rich>
      </c:tx>
      <c:layout>
        <c:manualLayout>
          <c:xMode val="edge"/>
          <c:yMode val="edge"/>
          <c:x val="0.32467286019450059"/>
          <c:y val="2.6763994342276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Thực tế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1'!$I$15:$AH$15</c:f>
              <c:numCache>
                <c:formatCode>dd/mm</c:formatCode>
                <c:ptCount val="26"/>
                <c:pt idx="0">
                  <c:v>45935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</c:numCache>
            </c:numRef>
          </c:cat>
          <c:val>
            <c:numRef>
              <c:f>'Sprint 1'!$I$113:$AH$113</c:f>
              <c:numCache>
                <c:formatCode>General</c:formatCode>
                <c:ptCount val="26"/>
                <c:pt idx="0">
                  <c:v>212</c:v>
                </c:pt>
                <c:pt idx="1">
                  <c:v>182.5</c:v>
                </c:pt>
                <c:pt idx="2">
                  <c:v>172.5</c:v>
                </c:pt>
                <c:pt idx="3">
                  <c:v>156</c:v>
                </c:pt>
                <c:pt idx="4">
                  <c:v>154</c:v>
                </c:pt>
                <c:pt idx="5">
                  <c:v>149</c:v>
                </c:pt>
                <c:pt idx="6">
                  <c:v>145</c:v>
                </c:pt>
                <c:pt idx="7">
                  <c:v>145</c:v>
                </c:pt>
                <c:pt idx="8">
                  <c:v>139</c:v>
                </c:pt>
                <c:pt idx="9">
                  <c:v>139</c:v>
                </c:pt>
                <c:pt idx="10">
                  <c:v>134</c:v>
                </c:pt>
                <c:pt idx="11">
                  <c:v>133</c:v>
                </c:pt>
                <c:pt idx="12">
                  <c:v>127</c:v>
                </c:pt>
                <c:pt idx="13">
                  <c:v>127</c:v>
                </c:pt>
                <c:pt idx="14">
                  <c:v>123</c:v>
                </c:pt>
                <c:pt idx="15">
                  <c:v>123</c:v>
                </c:pt>
                <c:pt idx="16">
                  <c:v>114</c:v>
                </c:pt>
                <c:pt idx="17">
                  <c:v>109</c:v>
                </c:pt>
                <c:pt idx="18">
                  <c:v>108</c:v>
                </c:pt>
                <c:pt idx="19">
                  <c:v>98.5</c:v>
                </c:pt>
                <c:pt idx="20">
                  <c:v>84.5</c:v>
                </c:pt>
                <c:pt idx="21">
                  <c:v>65</c:v>
                </c:pt>
                <c:pt idx="22">
                  <c:v>49</c:v>
                </c:pt>
                <c:pt idx="23">
                  <c:v>30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CE-4CE4-AFC7-BBCCF2198F41}"/>
            </c:ext>
          </c:extLst>
        </c:ser>
        <c:ser>
          <c:idx val="1"/>
          <c:order val="1"/>
          <c:tx>
            <c:v>Ước tính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1'!$I$15:$AH$15</c:f>
              <c:numCache>
                <c:formatCode>dd/mm</c:formatCode>
                <c:ptCount val="26"/>
                <c:pt idx="0">
                  <c:v>45935</c:v>
                </c:pt>
                <c:pt idx="1">
                  <c:v>45936</c:v>
                </c:pt>
                <c:pt idx="2">
                  <c:v>45937</c:v>
                </c:pt>
                <c:pt idx="3">
                  <c:v>45938</c:v>
                </c:pt>
                <c:pt idx="4">
                  <c:v>45939</c:v>
                </c:pt>
                <c:pt idx="5">
                  <c:v>45940</c:v>
                </c:pt>
                <c:pt idx="6">
                  <c:v>45941</c:v>
                </c:pt>
                <c:pt idx="7">
                  <c:v>45942</c:v>
                </c:pt>
                <c:pt idx="8">
                  <c:v>45943</c:v>
                </c:pt>
                <c:pt idx="9">
                  <c:v>45944</c:v>
                </c:pt>
                <c:pt idx="10">
                  <c:v>45945</c:v>
                </c:pt>
                <c:pt idx="11">
                  <c:v>45946</c:v>
                </c:pt>
                <c:pt idx="12">
                  <c:v>45947</c:v>
                </c:pt>
                <c:pt idx="13">
                  <c:v>45948</c:v>
                </c:pt>
                <c:pt idx="14">
                  <c:v>45949</c:v>
                </c:pt>
                <c:pt idx="15">
                  <c:v>45950</c:v>
                </c:pt>
                <c:pt idx="16">
                  <c:v>45951</c:v>
                </c:pt>
                <c:pt idx="17">
                  <c:v>45952</c:v>
                </c:pt>
                <c:pt idx="18">
                  <c:v>45953</c:v>
                </c:pt>
                <c:pt idx="19">
                  <c:v>45954</c:v>
                </c:pt>
                <c:pt idx="20">
                  <c:v>45955</c:v>
                </c:pt>
                <c:pt idx="21">
                  <c:v>45956</c:v>
                </c:pt>
                <c:pt idx="22">
                  <c:v>45957</c:v>
                </c:pt>
                <c:pt idx="23">
                  <c:v>45958</c:v>
                </c:pt>
                <c:pt idx="24">
                  <c:v>45959</c:v>
                </c:pt>
                <c:pt idx="25">
                  <c:v>45960</c:v>
                </c:pt>
              </c:numCache>
            </c:numRef>
          </c:cat>
          <c:val>
            <c:numRef>
              <c:f>'Sprint 1'!$I$114:$AH$114</c:f>
              <c:numCache>
                <c:formatCode>General</c:formatCode>
                <c:ptCount val="26"/>
                <c:pt idx="0">
                  <c:v>214</c:v>
                </c:pt>
                <c:pt idx="1">
                  <c:v>185</c:v>
                </c:pt>
                <c:pt idx="2">
                  <c:v>172</c:v>
                </c:pt>
                <c:pt idx="3">
                  <c:v>159</c:v>
                </c:pt>
                <c:pt idx="4">
                  <c:v>154</c:v>
                </c:pt>
                <c:pt idx="5">
                  <c:v>150</c:v>
                </c:pt>
                <c:pt idx="6">
                  <c:v>145</c:v>
                </c:pt>
                <c:pt idx="7">
                  <c:v>145</c:v>
                </c:pt>
                <c:pt idx="8">
                  <c:v>139</c:v>
                </c:pt>
                <c:pt idx="9">
                  <c:v>139</c:v>
                </c:pt>
                <c:pt idx="10">
                  <c:v>133</c:v>
                </c:pt>
                <c:pt idx="11">
                  <c:v>133</c:v>
                </c:pt>
                <c:pt idx="12">
                  <c:v>127</c:v>
                </c:pt>
                <c:pt idx="13">
                  <c:v>127</c:v>
                </c:pt>
                <c:pt idx="14">
                  <c:v>123</c:v>
                </c:pt>
                <c:pt idx="15">
                  <c:v>123</c:v>
                </c:pt>
                <c:pt idx="16">
                  <c:v>113</c:v>
                </c:pt>
                <c:pt idx="17">
                  <c:v>109</c:v>
                </c:pt>
                <c:pt idx="18">
                  <c:v>106</c:v>
                </c:pt>
                <c:pt idx="19">
                  <c:v>98.5</c:v>
                </c:pt>
                <c:pt idx="20">
                  <c:v>85</c:v>
                </c:pt>
                <c:pt idx="21">
                  <c:v>64</c:v>
                </c:pt>
                <c:pt idx="22">
                  <c:v>49</c:v>
                </c:pt>
                <c:pt idx="23">
                  <c:v>28</c:v>
                </c:pt>
                <c:pt idx="24">
                  <c:v>10</c:v>
                </c:pt>
                <c:pt idx="2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CE-4CE4-AFC7-BBCCF2198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623184"/>
        <c:axId val="595627504"/>
      </c:lineChart>
      <c:dateAx>
        <c:axId val="595623184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27504"/>
        <c:crosses val="autoZero"/>
        <c:auto val="1"/>
        <c:lblOffset val="100"/>
        <c:baseTimeUnit val="days"/>
      </c:dateAx>
      <c:valAx>
        <c:axId val="59562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62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4850947895679482E-2"/>
          <c:y val="2.6875905232204629E-2"/>
          <c:w val="0.88391036180400628"/>
          <c:h val="0.90538151354524499"/>
        </c:manualLayout>
      </c:layout>
      <c:lineChart>
        <c:grouping val="standard"/>
        <c:varyColors val="0"/>
        <c:ser>
          <c:idx val="0"/>
          <c:order val="0"/>
          <c:tx>
            <c:v>Thực tế</c:v>
          </c:tx>
          <c:marker>
            <c:symbol val="none"/>
          </c:marker>
          <c:cat>
            <c:numRef>
              <c:f>'Sprint 2'!$I$15:$AJ$15</c:f>
              <c:numCache>
                <c:formatCode>dd/mm</c:formatCode>
                <c:ptCount val="28"/>
                <c:pt idx="0">
                  <c:v>45961</c:v>
                </c:pt>
                <c:pt idx="1">
                  <c:v>45962</c:v>
                </c:pt>
                <c:pt idx="2">
                  <c:v>45963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  <c:pt idx="10">
                  <c:v>45971</c:v>
                </c:pt>
                <c:pt idx="11">
                  <c:v>45972</c:v>
                </c:pt>
                <c:pt idx="12">
                  <c:v>45973</c:v>
                </c:pt>
                <c:pt idx="13">
                  <c:v>45974</c:v>
                </c:pt>
                <c:pt idx="14">
                  <c:v>45975</c:v>
                </c:pt>
                <c:pt idx="15">
                  <c:v>45976</c:v>
                </c:pt>
                <c:pt idx="16">
                  <c:v>45977</c:v>
                </c:pt>
                <c:pt idx="17">
                  <c:v>45978</c:v>
                </c:pt>
                <c:pt idx="18">
                  <c:v>45979</c:v>
                </c:pt>
                <c:pt idx="19">
                  <c:v>45980</c:v>
                </c:pt>
                <c:pt idx="20">
                  <c:v>45981</c:v>
                </c:pt>
                <c:pt idx="21">
                  <c:v>45982</c:v>
                </c:pt>
                <c:pt idx="22">
                  <c:v>45983</c:v>
                </c:pt>
                <c:pt idx="23">
                  <c:v>45984</c:v>
                </c:pt>
                <c:pt idx="24">
                  <c:v>45985</c:v>
                </c:pt>
                <c:pt idx="25">
                  <c:v>45986</c:v>
                </c:pt>
                <c:pt idx="26">
                  <c:v>45987</c:v>
                </c:pt>
                <c:pt idx="27">
                  <c:v>45988</c:v>
                </c:pt>
              </c:numCache>
            </c:numRef>
          </c:cat>
          <c:val>
            <c:numRef>
              <c:f>'Sprint 2'!$I$108:$AJ$108</c:f>
              <c:numCache>
                <c:formatCode>General</c:formatCode>
                <c:ptCount val="28"/>
                <c:pt idx="0">
                  <c:v>186</c:v>
                </c:pt>
                <c:pt idx="1">
                  <c:v>167.5</c:v>
                </c:pt>
                <c:pt idx="2">
                  <c:v>146</c:v>
                </c:pt>
                <c:pt idx="3">
                  <c:v>148</c:v>
                </c:pt>
                <c:pt idx="4">
                  <c:v>137</c:v>
                </c:pt>
                <c:pt idx="5">
                  <c:v>139</c:v>
                </c:pt>
                <c:pt idx="6">
                  <c:v>133</c:v>
                </c:pt>
                <c:pt idx="7">
                  <c:v>131</c:v>
                </c:pt>
                <c:pt idx="8">
                  <c:v>124</c:v>
                </c:pt>
                <c:pt idx="9">
                  <c:v>122</c:v>
                </c:pt>
                <c:pt idx="10">
                  <c:v>116</c:v>
                </c:pt>
                <c:pt idx="11">
                  <c:v>116</c:v>
                </c:pt>
                <c:pt idx="12">
                  <c:v>109</c:v>
                </c:pt>
                <c:pt idx="13">
                  <c:v>109</c:v>
                </c:pt>
                <c:pt idx="14">
                  <c:v>103</c:v>
                </c:pt>
                <c:pt idx="15">
                  <c:v>103</c:v>
                </c:pt>
                <c:pt idx="16">
                  <c:v>97</c:v>
                </c:pt>
                <c:pt idx="17">
                  <c:v>95</c:v>
                </c:pt>
                <c:pt idx="18">
                  <c:v>87</c:v>
                </c:pt>
                <c:pt idx="19">
                  <c:v>87</c:v>
                </c:pt>
                <c:pt idx="20">
                  <c:v>82</c:v>
                </c:pt>
                <c:pt idx="21">
                  <c:v>66</c:v>
                </c:pt>
                <c:pt idx="22">
                  <c:v>53</c:v>
                </c:pt>
                <c:pt idx="23">
                  <c:v>41</c:v>
                </c:pt>
                <c:pt idx="24">
                  <c:v>32</c:v>
                </c:pt>
                <c:pt idx="25">
                  <c:v>25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F-4DAC-984D-F7E15ADE21E8}"/>
            </c:ext>
          </c:extLst>
        </c:ser>
        <c:ser>
          <c:idx val="1"/>
          <c:order val="1"/>
          <c:tx>
            <c:v>Ước tính</c:v>
          </c:tx>
          <c:marker>
            <c:symbol val="none"/>
          </c:marker>
          <c:cat>
            <c:numRef>
              <c:f>'Sprint 2'!$I$15:$AJ$15</c:f>
              <c:numCache>
                <c:formatCode>dd/mm</c:formatCode>
                <c:ptCount val="28"/>
                <c:pt idx="0">
                  <c:v>45961</c:v>
                </c:pt>
                <c:pt idx="1">
                  <c:v>45962</c:v>
                </c:pt>
                <c:pt idx="2">
                  <c:v>45963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  <c:pt idx="7">
                  <c:v>45968</c:v>
                </c:pt>
                <c:pt idx="8">
                  <c:v>45969</c:v>
                </c:pt>
                <c:pt idx="9">
                  <c:v>45970</c:v>
                </c:pt>
                <c:pt idx="10">
                  <c:v>45971</c:v>
                </c:pt>
                <c:pt idx="11">
                  <c:v>45972</c:v>
                </c:pt>
                <c:pt idx="12">
                  <c:v>45973</c:v>
                </c:pt>
                <c:pt idx="13">
                  <c:v>45974</c:v>
                </c:pt>
                <c:pt idx="14">
                  <c:v>45975</c:v>
                </c:pt>
                <c:pt idx="15">
                  <c:v>45976</c:v>
                </c:pt>
                <c:pt idx="16">
                  <c:v>45977</c:v>
                </c:pt>
                <c:pt idx="17">
                  <c:v>45978</c:v>
                </c:pt>
                <c:pt idx="18">
                  <c:v>45979</c:v>
                </c:pt>
                <c:pt idx="19">
                  <c:v>45980</c:v>
                </c:pt>
                <c:pt idx="20">
                  <c:v>45981</c:v>
                </c:pt>
                <c:pt idx="21">
                  <c:v>45982</c:v>
                </c:pt>
                <c:pt idx="22">
                  <c:v>45983</c:v>
                </c:pt>
                <c:pt idx="23">
                  <c:v>45984</c:v>
                </c:pt>
                <c:pt idx="24">
                  <c:v>45985</c:v>
                </c:pt>
                <c:pt idx="25">
                  <c:v>45986</c:v>
                </c:pt>
                <c:pt idx="26">
                  <c:v>45987</c:v>
                </c:pt>
                <c:pt idx="27">
                  <c:v>45988</c:v>
                </c:pt>
              </c:numCache>
            </c:numRef>
          </c:cat>
          <c:val>
            <c:numRef>
              <c:f>'Sprint 2'!$I$109:$AJ$109</c:f>
              <c:numCache>
                <c:formatCode>General</c:formatCode>
                <c:ptCount val="28"/>
                <c:pt idx="0">
                  <c:v>186</c:v>
                </c:pt>
                <c:pt idx="1">
                  <c:v>166</c:v>
                </c:pt>
                <c:pt idx="2">
                  <c:v>146</c:v>
                </c:pt>
                <c:pt idx="3">
                  <c:v>148</c:v>
                </c:pt>
                <c:pt idx="4">
                  <c:v>139</c:v>
                </c:pt>
                <c:pt idx="5">
                  <c:v>139</c:v>
                </c:pt>
                <c:pt idx="6">
                  <c:v>131</c:v>
                </c:pt>
                <c:pt idx="7">
                  <c:v>131</c:v>
                </c:pt>
                <c:pt idx="8">
                  <c:v>122</c:v>
                </c:pt>
                <c:pt idx="9">
                  <c:v>122</c:v>
                </c:pt>
                <c:pt idx="10">
                  <c:v>116</c:v>
                </c:pt>
                <c:pt idx="11">
                  <c:v>116</c:v>
                </c:pt>
                <c:pt idx="12">
                  <c:v>109</c:v>
                </c:pt>
                <c:pt idx="13">
                  <c:v>104</c:v>
                </c:pt>
                <c:pt idx="14">
                  <c:v>103</c:v>
                </c:pt>
                <c:pt idx="15">
                  <c:v>103</c:v>
                </c:pt>
                <c:pt idx="16">
                  <c:v>95</c:v>
                </c:pt>
                <c:pt idx="17">
                  <c:v>95</c:v>
                </c:pt>
                <c:pt idx="18">
                  <c:v>87</c:v>
                </c:pt>
                <c:pt idx="19">
                  <c:v>87</c:v>
                </c:pt>
                <c:pt idx="20">
                  <c:v>82</c:v>
                </c:pt>
                <c:pt idx="21">
                  <c:v>67</c:v>
                </c:pt>
                <c:pt idx="22">
                  <c:v>53</c:v>
                </c:pt>
                <c:pt idx="23">
                  <c:v>40</c:v>
                </c:pt>
                <c:pt idx="24">
                  <c:v>31</c:v>
                </c:pt>
                <c:pt idx="25">
                  <c:v>25</c:v>
                </c:pt>
                <c:pt idx="26">
                  <c:v>10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F-4DAC-984D-F7E15ADE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6295640"/>
        <c:axId val="226296816"/>
      </c:lineChart>
      <c:dateAx>
        <c:axId val="226295640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crossAx val="226296816"/>
        <c:crosses val="autoZero"/>
        <c:auto val="1"/>
        <c:lblOffset val="100"/>
        <c:baseTimeUnit val="days"/>
      </c:dateAx>
      <c:valAx>
        <c:axId val="226296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6295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Burndown</a:t>
            </a:r>
            <a:r>
              <a:rPr lang="en-GB" baseline="0"/>
              <a:t> Chart of sprint 3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4.1604988924130032E-2"/>
          <c:y val="9.9704301075268814E-2"/>
          <c:w val="0.84027000526263163"/>
          <c:h val="0.7764425112183557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3'!$I$15:$U$15</c:f>
              <c:numCache>
                <c:formatCode>dd/mm</c:formatCode>
                <c:ptCount val="13"/>
                <c:pt idx="0">
                  <c:v>45989</c:v>
                </c:pt>
                <c:pt idx="1">
                  <c:v>45990</c:v>
                </c:pt>
                <c:pt idx="2">
                  <c:v>45991</c:v>
                </c:pt>
                <c:pt idx="3">
                  <c:v>45992</c:v>
                </c:pt>
                <c:pt idx="4">
                  <c:v>45993</c:v>
                </c:pt>
                <c:pt idx="5">
                  <c:v>45994</c:v>
                </c:pt>
                <c:pt idx="6">
                  <c:v>45995</c:v>
                </c:pt>
                <c:pt idx="7">
                  <c:v>45996</c:v>
                </c:pt>
                <c:pt idx="8">
                  <c:v>45997</c:v>
                </c:pt>
                <c:pt idx="9">
                  <c:v>45998</c:v>
                </c:pt>
                <c:pt idx="10">
                  <c:v>45999</c:v>
                </c:pt>
                <c:pt idx="11">
                  <c:v>46000</c:v>
                </c:pt>
                <c:pt idx="12">
                  <c:v>46001</c:v>
                </c:pt>
              </c:numCache>
            </c:numRef>
          </c:cat>
          <c:val>
            <c:numRef>
              <c:f>'Sprint 3'!$I$42:$U$42</c:f>
              <c:numCache>
                <c:formatCode>General</c:formatCode>
                <c:ptCount val="13"/>
                <c:pt idx="0">
                  <c:v>84</c:v>
                </c:pt>
                <c:pt idx="1">
                  <c:v>73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53</c:v>
                </c:pt>
                <c:pt idx="6">
                  <c:v>50</c:v>
                </c:pt>
                <c:pt idx="7">
                  <c:v>50</c:v>
                </c:pt>
                <c:pt idx="8">
                  <c:v>32</c:v>
                </c:pt>
                <c:pt idx="9">
                  <c:v>20</c:v>
                </c:pt>
                <c:pt idx="10">
                  <c:v>16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2E-4A64-8E86-8F398692BCD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'Sprint 3'!$I$15:$U$15</c:f>
              <c:numCache>
                <c:formatCode>dd/mm</c:formatCode>
                <c:ptCount val="13"/>
                <c:pt idx="0">
                  <c:v>45989</c:v>
                </c:pt>
                <c:pt idx="1">
                  <c:v>45990</c:v>
                </c:pt>
                <c:pt idx="2">
                  <c:v>45991</c:v>
                </c:pt>
                <c:pt idx="3">
                  <c:v>45992</c:v>
                </c:pt>
                <c:pt idx="4">
                  <c:v>45993</c:v>
                </c:pt>
                <c:pt idx="5">
                  <c:v>45994</c:v>
                </c:pt>
                <c:pt idx="6">
                  <c:v>45995</c:v>
                </c:pt>
                <c:pt idx="7">
                  <c:v>45996</c:v>
                </c:pt>
                <c:pt idx="8">
                  <c:v>45997</c:v>
                </c:pt>
                <c:pt idx="9">
                  <c:v>45998</c:v>
                </c:pt>
                <c:pt idx="10">
                  <c:v>45999</c:v>
                </c:pt>
                <c:pt idx="11">
                  <c:v>46000</c:v>
                </c:pt>
                <c:pt idx="12">
                  <c:v>46001</c:v>
                </c:pt>
              </c:numCache>
            </c:numRef>
          </c:cat>
          <c:val>
            <c:numRef>
              <c:f>'Sprint 3'!$I$43:$U$43</c:f>
              <c:numCache>
                <c:formatCode>General</c:formatCode>
                <c:ptCount val="13"/>
                <c:pt idx="0">
                  <c:v>87</c:v>
                </c:pt>
                <c:pt idx="1">
                  <c:v>73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30</c:v>
                </c:pt>
                <c:pt idx="9">
                  <c:v>20</c:v>
                </c:pt>
                <c:pt idx="10">
                  <c:v>16</c:v>
                </c:pt>
                <c:pt idx="11">
                  <c:v>10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2E-4A64-8E86-8F398692B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8021472"/>
        <c:axId val="515707352"/>
      </c:lineChart>
      <c:dateAx>
        <c:axId val="468021472"/>
        <c:scaling>
          <c:orientation val="minMax"/>
        </c:scaling>
        <c:delete val="0"/>
        <c:axPos val="b"/>
        <c:numFmt formatCode="dd/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707352"/>
        <c:crosses val="autoZero"/>
        <c:auto val="1"/>
        <c:lblOffset val="100"/>
        <c:baseTimeUnit val="days"/>
      </c:dateAx>
      <c:valAx>
        <c:axId val="515707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802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9549549984133614"/>
          <c:y val="0.34173355346710688"/>
          <c:w val="8.8522765477691334E-2"/>
          <c:h val="0.198589027178054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665019</xdr:colOff>
      <xdr:row>115</xdr:row>
      <xdr:rowOff>83129</xdr:rowOff>
    </xdr:from>
    <xdr:to>
      <xdr:col>19</xdr:col>
      <xdr:colOff>159575</xdr:colOff>
      <xdr:row>152</xdr:row>
      <xdr:rowOff>131126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339437</xdr:colOff>
      <xdr:row>117</xdr:row>
      <xdr:rowOff>115786</xdr:rowOff>
    </xdr:from>
    <xdr:to>
      <xdr:col>17</xdr:col>
      <xdr:colOff>339437</xdr:colOff>
      <xdr:row>131</xdr:row>
      <xdr:rowOff>53439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1F5DFE-FB3A-52C9-1AFD-847503378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1371599</xdr:colOff>
      <xdr:row>111</xdr:row>
      <xdr:rowOff>41564</xdr:rowOff>
    </xdr:from>
    <xdr:to>
      <xdr:col>21</xdr:col>
      <xdr:colOff>374072</xdr:colOff>
      <xdr:row>148</xdr:row>
      <xdr:rowOff>41564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794658</xdr:colOff>
      <xdr:row>44</xdr:row>
      <xdr:rowOff>32656</xdr:rowOff>
    </xdr:from>
    <xdr:to>
      <xdr:col>15</xdr:col>
      <xdr:colOff>206830</xdr:colOff>
      <xdr:row>75</xdr:row>
      <xdr:rowOff>141513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662F34-A2F6-85B8-82DC-10A6A8A7C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14"/>
  <sheetViews>
    <sheetView topLeftCell="A11" zoomScale="55" zoomScaleNormal="55" workbookViewId="0">
      <selection activeCell="Q9" sqref="Q9"/>
    </sheetView>
  </sheetViews>
  <sheetFormatPr defaultColWidth="9.109375" defaultRowHeight="16.8" x14ac:dyDescent="0.3"/>
  <cols>
    <col min="1" max="1" width="16" style="1" customWidth="1"/>
    <col min="2" max="2" width="20.21875" style="1" customWidth="1"/>
    <col min="3" max="3" width="54.6640625" style="1" customWidth="1"/>
    <col min="4" max="5" width="11" style="1" customWidth="1"/>
    <col min="6" max="6" width="20.6640625" style="1" customWidth="1"/>
    <col min="7" max="9" width="6.109375" style="1" customWidth="1"/>
    <col min="10" max="10" width="6" style="1" customWidth="1"/>
    <col min="11" max="14" width="6.109375" style="1" customWidth="1"/>
    <col min="15" max="15" width="6" style="1" customWidth="1"/>
    <col min="16" max="16" width="6.109375" style="1" customWidth="1"/>
    <col min="17" max="21" width="6" style="1" customWidth="1"/>
    <col min="22" max="22" width="6.109375" style="1" customWidth="1"/>
    <col min="23" max="23" width="5.5546875" style="1" customWidth="1"/>
    <col min="24" max="24" width="6.109375" style="1" customWidth="1"/>
    <col min="25" max="25" width="6" style="1" customWidth="1"/>
    <col min="26" max="26" width="6.109375" style="1" customWidth="1"/>
    <col min="27" max="27" width="6" style="1" customWidth="1"/>
    <col min="28" max="28" width="5.88671875" style="1" customWidth="1"/>
    <col min="29" max="29" width="6.109375" style="1" customWidth="1"/>
    <col min="30" max="32" width="6" style="1" customWidth="1"/>
    <col min="33" max="33" width="6.33203125" style="1" customWidth="1"/>
    <col min="34" max="35" width="6.21875" style="1" customWidth="1"/>
    <col min="36" max="36" width="5.21875" style="1" customWidth="1"/>
    <col min="37" max="38" width="6.21875" style="1" customWidth="1"/>
    <col min="39" max="16384" width="9.109375" style="1"/>
  </cols>
  <sheetData>
    <row r="1" spans="1:34" ht="37.200000000000003" customHeight="1" thickBot="1" x14ac:dyDescent="0.35">
      <c r="A1" s="42" t="s">
        <v>3</v>
      </c>
      <c r="B1" s="42"/>
      <c r="C1" s="32" t="s">
        <v>137</v>
      </c>
      <c r="E1" s="8"/>
      <c r="F1" s="9" t="s">
        <v>63</v>
      </c>
    </row>
    <row r="2" spans="1:34" ht="17.399999999999999" thickBot="1" x14ac:dyDescent="0.35">
      <c r="A2" s="42" t="s">
        <v>2</v>
      </c>
      <c r="B2" s="42"/>
      <c r="C2" s="3" t="s">
        <v>4</v>
      </c>
      <c r="E2" s="10"/>
      <c r="F2" s="11" t="s">
        <v>62</v>
      </c>
    </row>
    <row r="3" spans="1:34" ht="17.399999999999999" thickBot="1" x14ac:dyDescent="0.35">
      <c r="A3" s="42" t="s">
        <v>1</v>
      </c>
      <c r="B3" s="42"/>
      <c r="C3" s="4">
        <v>45935</v>
      </c>
      <c r="E3" s="12"/>
      <c r="F3" s="11" t="s">
        <v>61</v>
      </c>
    </row>
    <row r="4" spans="1:34" ht="17.25" customHeight="1" thickBot="1" x14ac:dyDescent="0.35">
      <c r="A4" s="42" t="s">
        <v>0</v>
      </c>
      <c r="B4" s="42"/>
      <c r="C4" s="4">
        <v>45991</v>
      </c>
      <c r="E4" s="13"/>
      <c r="F4" s="11" t="s">
        <v>60</v>
      </c>
    </row>
    <row r="5" spans="1:34" ht="16.5" customHeight="1" thickBot="1" x14ac:dyDescent="0.35">
      <c r="E5" s="14"/>
      <c r="F5" s="15" t="s">
        <v>59</v>
      </c>
    </row>
    <row r="6" spans="1:34" ht="17.399999999999999" thickBot="1" x14ac:dyDescent="0.35">
      <c r="B6" s="51" t="s">
        <v>5</v>
      </c>
      <c r="C6" s="51"/>
      <c r="D6" s="51"/>
      <c r="E6" s="52"/>
    </row>
    <row r="7" spans="1:34" ht="17.399999999999999" thickBot="1" x14ac:dyDescent="0.35">
      <c r="B7" s="6" t="s">
        <v>6</v>
      </c>
      <c r="C7" s="6" t="s">
        <v>56</v>
      </c>
      <c r="D7" s="6" t="s">
        <v>11</v>
      </c>
      <c r="E7" s="6" t="s">
        <v>55</v>
      </c>
    </row>
    <row r="8" spans="1:34" ht="17.399999999999999" thickBot="1" x14ac:dyDescent="0.35">
      <c r="B8" s="7">
        <v>1</v>
      </c>
      <c r="C8" s="3" t="s">
        <v>66</v>
      </c>
      <c r="D8" s="3">
        <f ca="1">SUMIF($E$16:$F$112,"Đạt",$G$16:$G$112) +SUMIF($E$16:$F$112,"*Đạt*",$G$16:$G$112)/2 -SUMIF($E$16:$F$112,"Đạt",$G$16:$G$112)/2 +SUMIF($E$16:$F$112,"All team",$G$16:$G$112)/5</f>
        <v>73.3</v>
      </c>
      <c r="E8" s="3">
        <f ca="1">SUMIF($E$16:$F$112,"Đạt",$H$16:$H$112) +SUMIF($E$16:$F$112,"*Đạt*",$H$16:$H$112)/2 -SUMIF($E$16:$F$112,"Đạt",$H$16:$H$112)/2 +SUMIF($E$16:$F$112,"All team",$H$16:$H$112)/5</f>
        <v>70.5</v>
      </c>
    </row>
    <row r="9" spans="1:34" ht="17.399999999999999" thickBot="1" x14ac:dyDescent="0.35">
      <c r="B9" s="7">
        <v>2</v>
      </c>
      <c r="C9" s="3" t="s">
        <v>67</v>
      </c>
      <c r="D9" s="3">
        <f ca="1">SUMIF($E$16:$F$112,"Đức",$G$16:$G$112) +SUMIF($E$16:$F$112,"*Đức*",$G$16:$G$112)/2 -SUMIF($E$16:$F$112,"Đức",$G$16:$G$112)/2 +SUMIF($E$16:$F$112,"All team",$G$16:$G$112)/5</f>
        <v>40.299999999999997</v>
      </c>
      <c r="E9" s="3">
        <f ca="1">SUMIF($E$16:$F$112,"Đức",$H$16:$H$112) +SUMIF($E$16:$F$112,"*Đức*",$H$16:$H$112)/2 -SUMIF($E$16:$F$112,"Đức",$H$16:$H$112)/2 +SUMIF($E$16:$F$112,"All team",$H$16:$H$112)/5</f>
        <v>41</v>
      </c>
    </row>
    <row r="10" spans="1:34" ht="17.399999999999999" thickBot="1" x14ac:dyDescent="0.35">
      <c r="B10" s="7">
        <v>3</v>
      </c>
      <c r="C10" s="3" t="s">
        <v>68</v>
      </c>
      <c r="D10" s="3">
        <f ca="1">SUMIF($E$16:$F$112,"Huy",$G$16:$G$112) +SUMIF($E$16:$F$112,"*Huy*",$G$16:$G$112)/2 -SUMIF($E$16:$F$112,"Huy",$G$16:$G$112)/2 +SUMIF($E$16:$F$112,"All team",$G$16:$G$112)/5</f>
        <v>45.3</v>
      </c>
      <c r="E10" s="3">
        <f ca="1">SUMIF($E$16:$F$112,"Huy",$H$16:$H$112) +SUMIF($E$16:$F$112,"*Huy*",$H$16:$H$112)/2 -SUMIF($E$16:$F$112,"Huy",$H$16:$H$112)/2 +SUMIF($E$16:$F$112,"All team",$H$16:$H$112)/5</f>
        <v>47.5</v>
      </c>
    </row>
    <row r="11" spans="1:34" ht="17.399999999999999" thickBot="1" x14ac:dyDescent="0.35">
      <c r="B11" s="7">
        <v>4</v>
      </c>
      <c r="C11" s="3" t="s">
        <v>69</v>
      </c>
      <c r="D11" s="3">
        <f ca="1">SUMIF($E$16:$F$112,"Khánh",$G$16:$G$112) +SUMIF($E$16:$F$112,"*Khánh*",$G$16:$G$112)/2 -SUMIF($E$16:$F$112,"Khánh",$G$16:$G$112)/2 +SUMIF($E$16:$F$112,"All team",$G$16:$G$112)/5</f>
        <v>32.799999999999997</v>
      </c>
      <c r="E11" s="3">
        <f ca="1">SUMIF($E$16:$F$112,"Khánh",$H$16:$H$112) +SUMIF($E$16:$F$112,"*Khánh*",$H$16:$H$112)/2 -SUMIF($E$16:$F$112,"Khánh",$H$16:$H$112)/2 +SUMIF($E$16:$F$112,"All team",$H$16:$H$112)/5</f>
        <v>33.5</v>
      </c>
    </row>
    <row r="12" spans="1:34" ht="17.399999999999999" thickBot="1" x14ac:dyDescent="0.35">
      <c r="B12" s="7">
        <v>5</v>
      </c>
      <c r="C12" s="3" t="s">
        <v>70</v>
      </c>
      <c r="D12" s="3">
        <f ca="1">SUMIF($E$16:$F$112,"Tấn",$G$16:$G$112) +SUMIF($E$16:$F$112,"*Tấn*",$G$16:$G$112)/2 -SUMIF($E$16:$F$112,"Tấn",$G$16:$G$112)/2 +SUMIF($E$16:$F$112,"All team",$G$16:$G$112)/5</f>
        <v>37.799999999999997</v>
      </c>
      <c r="E12" s="3">
        <f ca="1">SUMIF($E$16:$F$112,"Tấn",$H$16:$H$112) +SUMIF($E$16:$F$112,"*Tấn*",$H$16:$H$112)/2 -SUMIF($E$16:$F$112,"Tấn",$H$16:$H$112)/2 +SUMIF($E$16:$F$112,"All team",$H$16:$H$112)/5</f>
        <v>38.5</v>
      </c>
    </row>
    <row r="13" spans="1:34" ht="17.399999999999999" thickBot="1" x14ac:dyDescent="0.35">
      <c r="B13" s="51" t="s">
        <v>12</v>
      </c>
      <c r="C13" s="51"/>
      <c r="D13" s="5">
        <f ca="1">SUM(D8:D12)</f>
        <v>229.5</v>
      </c>
      <c r="E13" s="5">
        <f ca="1">SUM(E8:E12)</f>
        <v>231</v>
      </c>
    </row>
    <row r="15" spans="1:34" ht="62.25" customHeight="1" x14ac:dyDescent="0.3">
      <c r="A15" s="16" t="s">
        <v>7</v>
      </c>
      <c r="B15" s="16" t="s">
        <v>8</v>
      </c>
      <c r="C15" s="53" t="s">
        <v>9</v>
      </c>
      <c r="D15" s="53"/>
      <c r="E15" s="53" t="s">
        <v>10</v>
      </c>
      <c r="F15" s="53"/>
      <c r="G15" s="17" t="s">
        <v>11</v>
      </c>
      <c r="H15" s="17" t="s">
        <v>55</v>
      </c>
      <c r="I15" s="18">
        <v>45935</v>
      </c>
      <c r="J15" s="18">
        <v>45936</v>
      </c>
      <c r="K15" s="18">
        <v>45937</v>
      </c>
      <c r="L15" s="18">
        <v>45938</v>
      </c>
      <c r="M15" s="18">
        <v>45939</v>
      </c>
      <c r="N15" s="18">
        <v>45940</v>
      </c>
      <c r="O15" s="18">
        <v>45941</v>
      </c>
      <c r="P15" s="18">
        <v>45942</v>
      </c>
      <c r="Q15" s="18">
        <v>45943</v>
      </c>
      <c r="R15" s="18">
        <v>45944</v>
      </c>
      <c r="S15" s="18">
        <v>45945</v>
      </c>
      <c r="T15" s="18">
        <v>45946</v>
      </c>
      <c r="U15" s="18">
        <v>45947</v>
      </c>
      <c r="V15" s="18">
        <v>45948</v>
      </c>
      <c r="W15" s="18">
        <v>45949</v>
      </c>
      <c r="X15" s="18">
        <v>45950</v>
      </c>
      <c r="Y15" s="18">
        <v>45951</v>
      </c>
      <c r="Z15" s="18">
        <v>45952</v>
      </c>
      <c r="AA15" s="18">
        <v>45953</v>
      </c>
      <c r="AB15" s="18">
        <v>45954</v>
      </c>
      <c r="AC15" s="18">
        <v>45955</v>
      </c>
      <c r="AD15" s="18">
        <v>45956</v>
      </c>
      <c r="AE15" s="18">
        <v>45957</v>
      </c>
      <c r="AF15" s="18">
        <v>45958</v>
      </c>
      <c r="AG15" s="18">
        <v>45959</v>
      </c>
      <c r="AH15" s="18">
        <v>45960</v>
      </c>
    </row>
    <row r="16" spans="1:34" x14ac:dyDescent="0.3">
      <c r="A16" s="48" t="s">
        <v>4</v>
      </c>
      <c r="B16" s="37" t="s">
        <v>13</v>
      </c>
      <c r="C16" s="37"/>
      <c r="D16" s="37"/>
      <c r="E16" s="40" t="s">
        <v>54</v>
      </c>
      <c r="F16" s="40"/>
      <c r="G16" s="19">
        <v>6</v>
      </c>
      <c r="H16" s="19">
        <v>6</v>
      </c>
      <c r="I16" s="20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</row>
    <row r="17" spans="1:34" x14ac:dyDescent="0.3">
      <c r="A17" s="49"/>
      <c r="B17" s="37" t="s">
        <v>14</v>
      </c>
      <c r="C17" s="37"/>
      <c r="D17" s="37"/>
      <c r="E17" s="40" t="s">
        <v>126</v>
      </c>
      <c r="F17" s="40"/>
      <c r="G17" s="19">
        <v>2</v>
      </c>
      <c r="H17" s="19">
        <v>4</v>
      </c>
      <c r="I17" s="20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</row>
    <row r="18" spans="1:34" ht="17.399999999999999" thickBot="1" x14ac:dyDescent="0.35">
      <c r="A18" s="49"/>
      <c r="B18" s="40"/>
      <c r="C18" s="40"/>
      <c r="D18" s="40"/>
      <c r="E18" s="40"/>
      <c r="F18" s="40"/>
      <c r="G18" s="19"/>
      <c r="H18" s="19"/>
      <c r="I18" s="14">
        <v>2</v>
      </c>
      <c r="J18" s="19"/>
      <c r="K18" s="19">
        <v>0</v>
      </c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>
        <v>0</v>
      </c>
    </row>
    <row r="19" spans="1:34" x14ac:dyDescent="0.3">
      <c r="A19" s="49"/>
      <c r="B19" s="37" t="s">
        <v>15</v>
      </c>
      <c r="C19" s="37"/>
      <c r="D19" s="37"/>
      <c r="E19" s="40" t="s">
        <v>127</v>
      </c>
      <c r="F19" s="40"/>
      <c r="G19" s="19">
        <v>4</v>
      </c>
      <c r="H19" s="19">
        <v>4</v>
      </c>
      <c r="I19" s="20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</row>
    <row r="20" spans="1:34" ht="16.8" customHeight="1" x14ac:dyDescent="0.3">
      <c r="A20" s="49"/>
      <c r="B20" s="45" t="s">
        <v>18</v>
      </c>
      <c r="C20" s="43" t="s">
        <v>16</v>
      </c>
      <c r="D20" s="44"/>
      <c r="E20" s="40" t="s">
        <v>128</v>
      </c>
      <c r="F20" s="40"/>
      <c r="G20" s="19">
        <v>2</v>
      </c>
      <c r="H20" s="19">
        <v>2</v>
      </c>
      <c r="I20" s="19">
        <v>2</v>
      </c>
      <c r="J20" s="20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</row>
    <row r="21" spans="1:34" x14ac:dyDescent="0.3">
      <c r="A21" s="49"/>
      <c r="B21" s="46"/>
      <c r="C21" s="37" t="s">
        <v>17</v>
      </c>
      <c r="D21" s="37"/>
      <c r="E21" s="40" t="s">
        <v>128</v>
      </c>
      <c r="F21" s="40"/>
      <c r="G21" s="19">
        <v>2</v>
      </c>
      <c r="H21" s="19">
        <v>2</v>
      </c>
      <c r="I21" s="19">
        <v>2</v>
      </c>
      <c r="J21" s="20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</row>
    <row r="22" spans="1:34" x14ac:dyDescent="0.3">
      <c r="A22" s="49"/>
      <c r="B22" s="46"/>
      <c r="C22" s="37" t="s">
        <v>71</v>
      </c>
      <c r="D22" s="37"/>
      <c r="E22" s="40" t="s">
        <v>129</v>
      </c>
      <c r="F22" s="40"/>
      <c r="G22" s="19">
        <v>2</v>
      </c>
      <c r="H22" s="19">
        <v>2</v>
      </c>
      <c r="I22" s="19">
        <v>2</v>
      </c>
      <c r="J22" s="20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</row>
    <row r="23" spans="1:34" x14ac:dyDescent="0.3">
      <c r="A23" s="49"/>
      <c r="B23" s="46"/>
      <c r="C23" s="37" t="s">
        <v>138</v>
      </c>
      <c r="D23" s="37"/>
      <c r="E23" s="40" t="s">
        <v>129</v>
      </c>
      <c r="F23" s="40"/>
      <c r="G23" s="19">
        <v>2</v>
      </c>
      <c r="H23" s="19">
        <v>2</v>
      </c>
      <c r="I23" s="19">
        <v>2</v>
      </c>
      <c r="J23" s="20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</row>
    <row r="24" spans="1:34" x14ac:dyDescent="0.3">
      <c r="A24" s="49"/>
      <c r="B24" s="46"/>
      <c r="C24" s="37" t="s">
        <v>141</v>
      </c>
      <c r="D24" s="37"/>
      <c r="E24" s="40" t="s">
        <v>128</v>
      </c>
      <c r="F24" s="40"/>
      <c r="G24" s="19">
        <v>2</v>
      </c>
      <c r="H24" s="19">
        <v>2</v>
      </c>
      <c r="I24" s="19">
        <v>2</v>
      </c>
      <c r="J24" s="20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</row>
    <row r="25" spans="1:34" x14ac:dyDescent="0.3">
      <c r="A25" s="49"/>
      <c r="B25" s="46"/>
      <c r="C25" s="37" t="s">
        <v>72</v>
      </c>
      <c r="D25" s="37"/>
      <c r="E25" s="40" t="s">
        <v>130</v>
      </c>
      <c r="F25" s="40"/>
      <c r="G25" s="19">
        <v>2</v>
      </c>
      <c r="H25" s="19">
        <v>2</v>
      </c>
      <c r="I25" s="19">
        <v>2</v>
      </c>
      <c r="J25" s="20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</row>
    <row r="26" spans="1:34" x14ac:dyDescent="0.3">
      <c r="A26" s="49"/>
      <c r="B26" s="46"/>
      <c r="C26" s="37" t="s">
        <v>73</v>
      </c>
      <c r="D26" s="37"/>
      <c r="E26" s="40" t="s">
        <v>130</v>
      </c>
      <c r="F26" s="40"/>
      <c r="G26" s="19">
        <v>2</v>
      </c>
      <c r="H26" s="19">
        <v>2</v>
      </c>
      <c r="I26" s="19">
        <v>2</v>
      </c>
      <c r="J26" s="20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</row>
    <row r="27" spans="1:34" x14ac:dyDescent="0.3">
      <c r="A27" s="49"/>
      <c r="B27" s="46"/>
      <c r="C27" s="37" t="s">
        <v>74</v>
      </c>
      <c r="D27" s="37"/>
      <c r="E27" s="40" t="s">
        <v>131</v>
      </c>
      <c r="F27" s="40"/>
      <c r="G27" s="19">
        <v>2</v>
      </c>
      <c r="H27" s="19">
        <v>2</v>
      </c>
      <c r="I27" s="19">
        <v>2</v>
      </c>
      <c r="J27" s="20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  <c r="AG27" s="19">
        <v>0</v>
      </c>
      <c r="AH27" s="19">
        <v>0</v>
      </c>
    </row>
    <row r="28" spans="1:34" x14ac:dyDescent="0.3">
      <c r="A28" s="49"/>
      <c r="B28" s="46"/>
      <c r="C28" s="37" t="s">
        <v>75</v>
      </c>
      <c r="D28" s="37"/>
      <c r="E28" s="40" t="s">
        <v>131</v>
      </c>
      <c r="F28" s="40"/>
      <c r="G28" s="19">
        <v>2</v>
      </c>
      <c r="H28" s="19">
        <v>2</v>
      </c>
      <c r="I28" s="19">
        <v>2</v>
      </c>
      <c r="J28" s="20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</row>
    <row r="29" spans="1:34" x14ac:dyDescent="0.3">
      <c r="A29" s="49"/>
      <c r="B29" s="46"/>
      <c r="C29" s="37" t="s">
        <v>76</v>
      </c>
      <c r="D29" s="37"/>
      <c r="E29" s="40" t="s">
        <v>131</v>
      </c>
      <c r="F29" s="40"/>
      <c r="G29" s="19">
        <v>2</v>
      </c>
      <c r="H29" s="19">
        <v>2</v>
      </c>
      <c r="I29" s="19">
        <v>2</v>
      </c>
      <c r="J29" s="20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</row>
    <row r="30" spans="1:34" x14ac:dyDescent="0.3">
      <c r="A30" s="49"/>
      <c r="B30" s="46"/>
      <c r="C30" s="37" t="s">
        <v>77</v>
      </c>
      <c r="D30" s="37"/>
      <c r="E30" s="40" t="s">
        <v>130</v>
      </c>
      <c r="F30" s="40"/>
      <c r="G30" s="19">
        <v>2.5</v>
      </c>
      <c r="H30" s="19">
        <v>2</v>
      </c>
      <c r="I30" s="19">
        <v>2</v>
      </c>
      <c r="J30" s="20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</row>
    <row r="31" spans="1:34" x14ac:dyDescent="0.3">
      <c r="A31" s="49"/>
      <c r="B31" s="46"/>
      <c r="C31" s="38"/>
      <c r="D31" s="39"/>
      <c r="E31" s="38"/>
      <c r="F31" s="39"/>
      <c r="G31" s="19"/>
      <c r="H31" s="19"/>
      <c r="I31" s="19"/>
      <c r="J31" s="12">
        <v>0.5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</row>
    <row r="32" spans="1:34" x14ac:dyDescent="0.3">
      <c r="A32" s="49"/>
      <c r="B32" s="46"/>
      <c r="C32" s="37" t="s">
        <v>22</v>
      </c>
      <c r="D32" s="37"/>
      <c r="E32" s="40" t="s">
        <v>54</v>
      </c>
      <c r="F32" s="40"/>
      <c r="G32" s="19">
        <v>7</v>
      </c>
      <c r="H32" s="19">
        <v>10</v>
      </c>
      <c r="I32" s="19">
        <v>7</v>
      </c>
      <c r="J32" s="20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</row>
    <row r="33" spans="1:34" ht="17.399999999999999" thickBot="1" x14ac:dyDescent="0.35">
      <c r="A33" s="49"/>
      <c r="B33" s="47"/>
      <c r="C33" s="38"/>
      <c r="D33" s="41"/>
      <c r="E33" s="41"/>
      <c r="F33" s="41"/>
      <c r="G33" s="34"/>
      <c r="H33" s="34"/>
      <c r="I33" s="34"/>
      <c r="J33" s="14">
        <v>3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</row>
    <row r="34" spans="1:34" x14ac:dyDescent="0.3">
      <c r="A34" s="49"/>
      <c r="B34" s="45" t="s">
        <v>23</v>
      </c>
      <c r="C34" s="43" t="s">
        <v>19</v>
      </c>
      <c r="D34" s="44"/>
      <c r="E34" s="40" t="s">
        <v>128</v>
      </c>
      <c r="F34" s="40"/>
      <c r="G34" s="19">
        <v>1</v>
      </c>
      <c r="H34" s="19">
        <v>1</v>
      </c>
      <c r="I34" s="19">
        <v>1</v>
      </c>
      <c r="J34" s="19">
        <v>1</v>
      </c>
      <c r="K34" s="20">
        <v>0</v>
      </c>
      <c r="L34" s="19">
        <v>0</v>
      </c>
      <c r="M34" s="19">
        <v>0</v>
      </c>
      <c r="N34" s="19">
        <v>0</v>
      </c>
      <c r="O34" s="19">
        <v>0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  <c r="U34" s="19">
        <v>0</v>
      </c>
      <c r="V34" s="19">
        <v>0</v>
      </c>
      <c r="W34" s="19">
        <v>0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19">
        <v>0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</row>
    <row r="35" spans="1:34" x14ac:dyDescent="0.3">
      <c r="A35" s="49"/>
      <c r="B35" s="46"/>
      <c r="C35" s="43" t="s">
        <v>20</v>
      </c>
      <c r="D35" s="44"/>
      <c r="E35" s="40" t="s">
        <v>128</v>
      </c>
      <c r="F35" s="40"/>
      <c r="G35" s="19">
        <v>1</v>
      </c>
      <c r="H35" s="19">
        <v>1</v>
      </c>
      <c r="I35" s="19">
        <v>1</v>
      </c>
      <c r="J35" s="19">
        <v>1</v>
      </c>
      <c r="K35" s="20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</row>
    <row r="36" spans="1:34" x14ac:dyDescent="0.3">
      <c r="A36" s="49"/>
      <c r="B36" s="46"/>
      <c r="C36" s="43" t="s">
        <v>78</v>
      </c>
      <c r="D36" s="44"/>
      <c r="E36" s="40" t="s">
        <v>129</v>
      </c>
      <c r="F36" s="40"/>
      <c r="G36" s="19">
        <v>1</v>
      </c>
      <c r="H36" s="19">
        <v>1</v>
      </c>
      <c r="I36" s="19">
        <v>1</v>
      </c>
      <c r="J36" s="19">
        <v>1</v>
      </c>
      <c r="K36" s="20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</row>
    <row r="37" spans="1:34" x14ac:dyDescent="0.3">
      <c r="A37" s="49"/>
      <c r="B37" s="46"/>
      <c r="C37" s="43" t="s">
        <v>146</v>
      </c>
      <c r="D37" s="44"/>
      <c r="E37" s="40" t="s">
        <v>129</v>
      </c>
      <c r="F37" s="40"/>
      <c r="G37" s="19">
        <v>1</v>
      </c>
      <c r="H37" s="19">
        <v>1</v>
      </c>
      <c r="I37" s="19">
        <v>1</v>
      </c>
      <c r="J37" s="19">
        <v>1</v>
      </c>
      <c r="K37" s="20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</row>
    <row r="38" spans="1:34" x14ac:dyDescent="0.3">
      <c r="A38" s="49"/>
      <c r="B38" s="46"/>
      <c r="C38" s="43" t="s">
        <v>149</v>
      </c>
      <c r="D38" s="44"/>
      <c r="E38" s="40" t="s">
        <v>128</v>
      </c>
      <c r="F38" s="40"/>
      <c r="G38" s="19">
        <v>2.5</v>
      </c>
      <c r="H38" s="19">
        <v>2</v>
      </c>
      <c r="I38" s="19">
        <v>2</v>
      </c>
      <c r="J38" s="19">
        <v>2</v>
      </c>
      <c r="K38" s="20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</row>
    <row r="39" spans="1:34" x14ac:dyDescent="0.3">
      <c r="A39" s="49"/>
      <c r="B39" s="46"/>
      <c r="C39" s="38"/>
      <c r="D39" s="39"/>
      <c r="E39" s="40"/>
      <c r="F39" s="40"/>
      <c r="G39" s="34"/>
      <c r="H39" s="34"/>
      <c r="I39" s="34"/>
      <c r="J39" s="34"/>
      <c r="K39" s="12">
        <v>0.5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</row>
    <row r="40" spans="1:34" x14ac:dyDescent="0.3">
      <c r="A40" s="49"/>
      <c r="B40" s="46"/>
      <c r="C40" s="37" t="s">
        <v>80</v>
      </c>
      <c r="D40" s="37"/>
      <c r="E40" s="40" t="s">
        <v>130</v>
      </c>
      <c r="F40" s="40"/>
      <c r="G40" s="19">
        <v>2</v>
      </c>
      <c r="H40" s="19">
        <v>2</v>
      </c>
      <c r="I40" s="19">
        <v>2</v>
      </c>
      <c r="J40" s="19">
        <v>2</v>
      </c>
      <c r="K40" s="20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</row>
    <row r="41" spans="1:34" x14ac:dyDescent="0.3">
      <c r="A41" s="49"/>
      <c r="B41" s="46"/>
      <c r="C41" s="37" t="s">
        <v>81</v>
      </c>
      <c r="D41" s="37"/>
      <c r="E41" s="40" t="s">
        <v>130</v>
      </c>
      <c r="F41" s="40"/>
      <c r="G41" s="19">
        <v>2</v>
      </c>
      <c r="H41" s="19">
        <v>2</v>
      </c>
      <c r="I41" s="19">
        <v>2</v>
      </c>
      <c r="J41" s="19">
        <v>2</v>
      </c>
      <c r="K41" s="20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</row>
    <row r="42" spans="1:34" x14ac:dyDescent="0.3">
      <c r="A42" s="49"/>
      <c r="B42" s="46"/>
      <c r="C42" s="37" t="s">
        <v>82</v>
      </c>
      <c r="D42" s="37"/>
      <c r="E42" s="40" t="s">
        <v>131</v>
      </c>
      <c r="F42" s="40"/>
      <c r="G42" s="19">
        <v>2</v>
      </c>
      <c r="H42" s="19">
        <v>2</v>
      </c>
      <c r="I42" s="19">
        <v>2</v>
      </c>
      <c r="J42" s="19">
        <v>2</v>
      </c>
      <c r="K42" s="19">
        <v>2</v>
      </c>
      <c r="L42" s="20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</row>
    <row r="43" spans="1:34" x14ac:dyDescent="0.3">
      <c r="A43" s="49"/>
      <c r="B43" s="46"/>
      <c r="C43" s="37" t="s">
        <v>83</v>
      </c>
      <c r="D43" s="37"/>
      <c r="E43" s="40" t="s">
        <v>131</v>
      </c>
      <c r="F43" s="40"/>
      <c r="G43" s="19">
        <v>2</v>
      </c>
      <c r="H43" s="19">
        <v>2</v>
      </c>
      <c r="I43" s="19">
        <v>2</v>
      </c>
      <c r="J43" s="19">
        <v>2</v>
      </c>
      <c r="K43" s="19">
        <v>2</v>
      </c>
      <c r="L43" s="20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</row>
    <row r="44" spans="1:34" x14ac:dyDescent="0.3">
      <c r="A44" s="49"/>
      <c r="B44" s="46"/>
      <c r="C44" s="37" t="s">
        <v>84</v>
      </c>
      <c r="D44" s="37"/>
      <c r="E44" s="40" t="s">
        <v>131</v>
      </c>
      <c r="F44" s="40"/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20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</row>
    <row r="45" spans="1:34" x14ac:dyDescent="0.3">
      <c r="A45" s="49"/>
      <c r="B45" s="46"/>
      <c r="C45" s="37" t="s">
        <v>85</v>
      </c>
      <c r="D45" s="37"/>
      <c r="E45" s="40" t="s">
        <v>130</v>
      </c>
      <c r="F45" s="40"/>
      <c r="G45" s="19">
        <v>1</v>
      </c>
      <c r="H45" s="19">
        <v>1</v>
      </c>
      <c r="I45" s="19">
        <v>1</v>
      </c>
      <c r="J45" s="19">
        <v>1</v>
      </c>
      <c r="K45" s="19">
        <v>1</v>
      </c>
      <c r="L45" s="20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</row>
    <row r="46" spans="1:34" x14ac:dyDescent="0.3">
      <c r="A46" s="49"/>
      <c r="B46" s="46"/>
      <c r="C46" s="37" t="s">
        <v>21</v>
      </c>
      <c r="D46" s="37"/>
      <c r="E46" s="40" t="s">
        <v>54</v>
      </c>
      <c r="F46" s="40"/>
      <c r="G46" s="19">
        <v>7</v>
      </c>
      <c r="H46" s="19">
        <v>10</v>
      </c>
      <c r="I46" s="19">
        <v>10</v>
      </c>
      <c r="J46" s="19">
        <v>10</v>
      </c>
      <c r="K46" s="19">
        <v>7</v>
      </c>
      <c r="L46" s="20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</row>
    <row r="47" spans="1:34" ht="17.399999999999999" thickBot="1" x14ac:dyDescent="0.35">
      <c r="A47" s="49"/>
      <c r="B47" s="47"/>
      <c r="C47" s="38"/>
      <c r="D47" s="41"/>
      <c r="E47" s="38"/>
      <c r="F47" s="41"/>
      <c r="G47" s="35"/>
      <c r="H47" s="35"/>
      <c r="I47" s="35"/>
      <c r="J47" s="35"/>
      <c r="K47" s="35"/>
      <c r="L47" s="14">
        <v>3</v>
      </c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</row>
    <row r="48" spans="1:34" x14ac:dyDescent="0.3">
      <c r="A48" s="49"/>
      <c r="B48" s="45" t="s">
        <v>27</v>
      </c>
      <c r="C48" s="43" t="s">
        <v>87</v>
      </c>
      <c r="D48" s="44"/>
      <c r="E48" s="40" t="s">
        <v>129</v>
      </c>
      <c r="F48" s="40"/>
      <c r="G48" s="19">
        <v>2</v>
      </c>
      <c r="H48" s="19">
        <v>2</v>
      </c>
      <c r="I48" s="19">
        <v>2</v>
      </c>
      <c r="J48" s="19">
        <v>2</v>
      </c>
      <c r="K48" s="19">
        <v>2</v>
      </c>
      <c r="L48" s="19">
        <v>2</v>
      </c>
      <c r="M48" s="20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</row>
    <row r="49" spans="1:34" x14ac:dyDescent="0.3">
      <c r="A49" s="49"/>
      <c r="B49" s="46"/>
      <c r="C49" s="43" t="s">
        <v>25</v>
      </c>
      <c r="D49" s="44"/>
      <c r="E49" s="40" t="s">
        <v>132</v>
      </c>
      <c r="F49" s="40"/>
      <c r="G49" s="19">
        <v>2</v>
      </c>
      <c r="H49" s="19">
        <v>2</v>
      </c>
      <c r="I49" s="19">
        <v>2</v>
      </c>
      <c r="J49" s="19">
        <v>2</v>
      </c>
      <c r="K49" s="19">
        <v>2</v>
      </c>
      <c r="L49" s="19">
        <v>2</v>
      </c>
      <c r="M49" s="20">
        <v>0</v>
      </c>
      <c r="N49" s="19">
        <v>0</v>
      </c>
      <c r="O49" s="19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</row>
    <row r="50" spans="1:34" x14ac:dyDescent="0.3">
      <c r="A50" s="49"/>
      <c r="B50" s="46"/>
      <c r="C50" s="37" t="s">
        <v>86</v>
      </c>
      <c r="D50" s="37"/>
      <c r="E50" s="40" t="s">
        <v>131</v>
      </c>
      <c r="F50" s="40"/>
      <c r="G50" s="19">
        <v>2</v>
      </c>
      <c r="H50" s="19">
        <v>2</v>
      </c>
      <c r="I50" s="19">
        <v>2</v>
      </c>
      <c r="J50" s="19">
        <v>2</v>
      </c>
      <c r="K50" s="19">
        <v>2</v>
      </c>
      <c r="L50" s="19">
        <v>2</v>
      </c>
      <c r="M50" s="19">
        <v>2</v>
      </c>
      <c r="N50" s="20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</row>
    <row r="51" spans="1:34" x14ac:dyDescent="0.3">
      <c r="A51" s="49"/>
      <c r="B51" s="46"/>
      <c r="C51" s="37" t="s">
        <v>24</v>
      </c>
      <c r="D51" s="37"/>
      <c r="E51" s="40" t="s">
        <v>132</v>
      </c>
      <c r="F51" s="40"/>
      <c r="G51" s="19">
        <v>2</v>
      </c>
      <c r="H51" s="19">
        <v>3</v>
      </c>
      <c r="I51" s="19">
        <v>3</v>
      </c>
      <c r="J51" s="19">
        <v>3</v>
      </c>
      <c r="K51" s="19">
        <v>3</v>
      </c>
      <c r="L51" s="19">
        <v>3</v>
      </c>
      <c r="M51" s="19">
        <v>2</v>
      </c>
      <c r="N51" s="20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</row>
    <row r="52" spans="1:34" ht="17.399999999999999" thickBot="1" x14ac:dyDescent="0.35">
      <c r="A52" s="49"/>
      <c r="B52" s="46"/>
      <c r="C52" s="38"/>
      <c r="D52" s="41"/>
      <c r="E52" s="38"/>
      <c r="F52" s="41"/>
      <c r="G52" s="34"/>
      <c r="H52" s="34"/>
      <c r="I52" s="34"/>
      <c r="J52" s="34"/>
      <c r="K52" s="34"/>
      <c r="L52" s="34"/>
      <c r="M52" s="34"/>
      <c r="N52" s="14">
        <v>1</v>
      </c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</row>
    <row r="53" spans="1:34" x14ac:dyDescent="0.3">
      <c r="A53" s="49"/>
      <c r="B53" s="46"/>
      <c r="C53" s="37" t="s">
        <v>88</v>
      </c>
      <c r="D53" s="37"/>
      <c r="E53" s="40" t="s">
        <v>128</v>
      </c>
      <c r="F53" s="40"/>
      <c r="G53" s="19">
        <v>3</v>
      </c>
      <c r="H53" s="19">
        <v>3</v>
      </c>
      <c r="I53" s="19">
        <v>3</v>
      </c>
      <c r="J53" s="19">
        <v>3</v>
      </c>
      <c r="K53" s="19">
        <v>3</v>
      </c>
      <c r="L53" s="19">
        <v>3</v>
      </c>
      <c r="M53" s="19">
        <v>3</v>
      </c>
      <c r="N53" s="1">
        <v>3</v>
      </c>
      <c r="O53" s="20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</row>
    <row r="54" spans="1:34" x14ac:dyDescent="0.3">
      <c r="A54" s="49"/>
      <c r="B54" s="46"/>
      <c r="C54" s="37" t="s">
        <v>96</v>
      </c>
      <c r="D54" s="37"/>
      <c r="E54" s="40" t="s">
        <v>132</v>
      </c>
      <c r="F54" s="40"/>
      <c r="G54" s="19">
        <v>2</v>
      </c>
      <c r="H54" s="19">
        <v>2</v>
      </c>
      <c r="I54" s="19">
        <v>2</v>
      </c>
      <c r="J54" s="19">
        <v>2</v>
      </c>
      <c r="K54" s="19">
        <v>2</v>
      </c>
      <c r="L54" s="19">
        <v>2</v>
      </c>
      <c r="M54" s="19">
        <v>2</v>
      </c>
      <c r="N54" s="19">
        <v>2</v>
      </c>
      <c r="O54" s="20">
        <v>0</v>
      </c>
      <c r="P54" s="1">
        <v>0</v>
      </c>
      <c r="Q54" s="19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</row>
    <row r="55" spans="1:34" x14ac:dyDescent="0.3">
      <c r="A55" s="49"/>
      <c r="B55" s="46"/>
      <c r="C55" s="37" t="s">
        <v>154</v>
      </c>
      <c r="D55" s="37"/>
      <c r="E55" s="40" t="s">
        <v>129</v>
      </c>
      <c r="F55" s="40"/>
      <c r="G55" s="19">
        <v>3</v>
      </c>
      <c r="H55" s="19">
        <v>3</v>
      </c>
      <c r="I55" s="19">
        <v>3</v>
      </c>
      <c r="J55" s="19">
        <v>3</v>
      </c>
      <c r="K55" s="19">
        <v>3</v>
      </c>
      <c r="L55" s="19">
        <v>3</v>
      </c>
      <c r="M55" s="19">
        <v>3</v>
      </c>
      <c r="N55" s="19">
        <v>3</v>
      </c>
      <c r="O55" s="19">
        <v>3</v>
      </c>
      <c r="P55" s="19">
        <v>3</v>
      </c>
      <c r="Q55" s="20">
        <v>0</v>
      </c>
      <c r="R55" s="19">
        <v>0</v>
      </c>
      <c r="S55" s="19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</row>
    <row r="56" spans="1:34" x14ac:dyDescent="0.3">
      <c r="A56" s="49"/>
      <c r="B56" s="46"/>
      <c r="C56" s="37" t="s">
        <v>162</v>
      </c>
      <c r="D56" s="37"/>
      <c r="E56" s="40" t="s">
        <v>132</v>
      </c>
      <c r="F56" s="40"/>
      <c r="G56" s="19">
        <v>3</v>
      </c>
      <c r="H56" s="19">
        <v>3</v>
      </c>
      <c r="I56" s="19">
        <v>3</v>
      </c>
      <c r="J56" s="19">
        <v>3</v>
      </c>
      <c r="K56" s="19">
        <v>3</v>
      </c>
      <c r="L56" s="19">
        <v>3</v>
      </c>
      <c r="M56" s="19">
        <v>3</v>
      </c>
      <c r="N56" s="19">
        <v>3</v>
      </c>
      <c r="O56" s="19">
        <v>3</v>
      </c>
      <c r="P56" s="19">
        <v>3</v>
      </c>
      <c r="Q56" s="20">
        <v>0</v>
      </c>
      <c r="R56" s="19">
        <v>0</v>
      </c>
      <c r="S56" s="19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</row>
    <row r="57" spans="1:34" x14ac:dyDescent="0.3">
      <c r="A57" s="49"/>
      <c r="B57" s="46"/>
      <c r="C57" s="37" t="s">
        <v>157</v>
      </c>
      <c r="D57" s="37"/>
      <c r="E57" s="40" t="s">
        <v>132</v>
      </c>
      <c r="F57" s="40"/>
      <c r="G57" s="19">
        <v>4</v>
      </c>
      <c r="H57" s="19">
        <v>3</v>
      </c>
      <c r="I57" s="19">
        <v>3</v>
      </c>
      <c r="J57" s="19">
        <v>3</v>
      </c>
      <c r="K57" s="19">
        <v>3</v>
      </c>
      <c r="L57" s="19">
        <v>3</v>
      </c>
      <c r="M57" s="19">
        <v>3</v>
      </c>
      <c r="N57" s="19">
        <v>3</v>
      </c>
      <c r="O57" s="19">
        <v>3</v>
      </c>
      <c r="P57" s="19">
        <v>3</v>
      </c>
      <c r="Q57" s="19">
        <v>3</v>
      </c>
      <c r="R57" s="19">
        <v>3</v>
      </c>
      <c r="S57" s="20">
        <v>0</v>
      </c>
      <c r="T57" s="19">
        <v>0</v>
      </c>
      <c r="U57" s="19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</row>
    <row r="58" spans="1:34" x14ac:dyDescent="0.3">
      <c r="A58" s="49"/>
      <c r="B58" s="46"/>
      <c r="C58" s="38"/>
      <c r="D58" s="39"/>
      <c r="E58" s="38"/>
      <c r="F58" s="41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12">
        <v>1</v>
      </c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</row>
    <row r="59" spans="1:34" x14ac:dyDescent="0.3">
      <c r="A59" s="49"/>
      <c r="B59" s="46"/>
      <c r="C59" s="37" t="s">
        <v>165</v>
      </c>
      <c r="D59" s="37"/>
      <c r="E59" s="40" t="s">
        <v>132</v>
      </c>
      <c r="F59" s="40"/>
      <c r="G59" s="19">
        <v>3</v>
      </c>
      <c r="H59" s="19">
        <v>3</v>
      </c>
      <c r="I59" s="19">
        <v>3</v>
      </c>
      <c r="J59" s="19">
        <v>3</v>
      </c>
      <c r="K59" s="19">
        <v>3</v>
      </c>
      <c r="L59" s="19">
        <v>3</v>
      </c>
      <c r="M59" s="19">
        <v>3</v>
      </c>
      <c r="N59" s="19">
        <v>3</v>
      </c>
      <c r="O59" s="19">
        <v>3</v>
      </c>
      <c r="P59" s="19">
        <v>3</v>
      </c>
      <c r="Q59" s="19">
        <v>3</v>
      </c>
      <c r="R59" s="19">
        <v>3</v>
      </c>
      <c r="S59" s="20">
        <v>0</v>
      </c>
      <c r="T59" s="19">
        <v>0</v>
      </c>
      <c r="U59" s="19">
        <v>0</v>
      </c>
      <c r="V59" s="19">
        <v>0</v>
      </c>
      <c r="W59" s="19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</row>
    <row r="60" spans="1:34" x14ac:dyDescent="0.3">
      <c r="A60" s="49"/>
      <c r="B60" s="46"/>
      <c r="C60" s="37" t="s">
        <v>90</v>
      </c>
      <c r="D60" s="37"/>
      <c r="E60" s="40" t="s">
        <v>128</v>
      </c>
      <c r="F60" s="40"/>
      <c r="G60" s="19">
        <v>4</v>
      </c>
      <c r="H60" s="19">
        <v>4</v>
      </c>
      <c r="I60" s="19">
        <v>4</v>
      </c>
      <c r="J60" s="19">
        <v>4</v>
      </c>
      <c r="K60" s="19">
        <v>4</v>
      </c>
      <c r="L60" s="19">
        <v>4</v>
      </c>
      <c r="M60" s="19">
        <v>4</v>
      </c>
      <c r="N60" s="19">
        <v>4</v>
      </c>
      <c r="O60" s="19">
        <v>4</v>
      </c>
      <c r="P60" s="19">
        <v>4</v>
      </c>
      <c r="Q60" s="19">
        <v>4</v>
      </c>
      <c r="R60" s="19">
        <v>4</v>
      </c>
      <c r="S60" s="19">
        <v>4</v>
      </c>
      <c r="T60" s="19">
        <v>4</v>
      </c>
      <c r="U60" s="20">
        <v>0</v>
      </c>
      <c r="V60" s="19">
        <v>0</v>
      </c>
      <c r="W60" s="19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</row>
    <row r="61" spans="1:34" x14ac:dyDescent="0.3">
      <c r="A61" s="49"/>
      <c r="B61" s="46"/>
      <c r="C61" s="37" t="s">
        <v>98</v>
      </c>
      <c r="D61" s="37"/>
      <c r="E61" s="40" t="s">
        <v>132</v>
      </c>
      <c r="F61" s="40"/>
      <c r="G61" s="19">
        <v>2</v>
      </c>
      <c r="H61" s="19">
        <v>2</v>
      </c>
      <c r="I61" s="19">
        <v>2</v>
      </c>
      <c r="J61" s="19">
        <v>2</v>
      </c>
      <c r="K61" s="19">
        <v>2</v>
      </c>
      <c r="L61" s="19">
        <v>2</v>
      </c>
      <c r="M61" s="19">
        <v>2</v>
      </c>
      <c r="N61" s="19">
        <v>2</v>
      </c>
      <c r="O61" s="19">
        <v>2</v>
      </c>
      <c r="P61" s="19">
        <v>2</v>
      </c>
      <c r="Q61" s="19">
        <v>2</v>
      </c>
      <c r="R61" s="19">
        <v>2</v>
      </c>
      <c r="S61" s="19">
        <v>2</v>
      </c>
      <c r="T61" s="1">
        <v>2</v>
      </c>
      <c r="U61" s="20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</row>
    <row r="62" spans="1:34" x14ac:dyDescent="0.3">
      <c r="A62" s="49"/>
      <c r="B62" s="46"/>
      <c r="C62" s="37" t="s">
        <v>91</v>
      </c>
      <c r="D62" s="37"/>
      <c r="E62" s="40" t="s">
        <v>132</v>
      </c>
      <c r="F62" s="40"/>
      <c r="G62" s="19">
        <v>2</v>
      </c>
      <c r="H62" s="19">
        <v>2</v>
      </c>
      <c r="I62" s="19">
        <v>2</v>
      </c>
      <c r="J62" s="19">
        <v>2</v>
      </c>
      <c r="K62" s="19">
        <v>2</v>
      </c>
      <c r="L62" s="19">
        <v>2</v>
      </c>
      <c r="M62" s="19">
        <v>2</v>
      </c>
      <c r="N62" s="19">
        <v>2</v>
      </c>
      <c r="O62" s="19">
        <v>2</v>
      </c>
      <c r="P62" s="19">
        <v>2</v>
      </c>
      <c r="Q62" s="19">
        <v>2</v>
      </c>
      <c r="R62" s="19">
        <v>2</v>
      </c>
      <c r="S62" s="19">
        <v>2</v>
      </c>
      <c r="T62" s="19">
        <v>2</v>
      </c>
      <c r="U62" s="19">
        <v>2</v>
      </c>
      <c r="V62" s="19">
        <v>2</v>
      </c>
      <c r="W62" s="20">
        <v>0</v>
      </c>
      <c r="X62" s="19">
        <v>0</v>
      </c>
      <c r="Y62" s="19">
        <v>0</v>
      </c>
      <c r="Z62" s="19">
        <v>0</v>
      </c>
      <c r="AA62" s="19">
        <v>0</v>
      </c>
      <c r="AB62" s="19">
        <v>0</v>
      </c>
      <c r="AC62" s="19">
        <v>0</v>
      </c>
      <c r="AD62" s="19">
        <v>0</v>
      </c>
      <c r="AE62" s="19">
        <v>0</v>
      </c>
      <c r="AF62" s="19">
        <v>0</v>
      </c>
      <c r="AG62" s="19">
        <v>0</v>
      </c>
      <c r="AH62" s="19">
        <v>0</v>
      </c>
    </row>
    <row r="63" spans="1:34" x14ac:dyDescent="0.3">
      <c r="A63" s="49"/>
      <c r="B63" s="46"/>
      <c r="C63" s="37" t="s">
        <v>99</v>
      </c>
      <c r="D63" s="37"/>
      <c r="E63" s="40" t="s">
        <v>132</v>
      </c>
      <c r="F63" s="40"/>
      <c r="G63" s="19">
        <v>2</v>
      </c>
      <c r="H63" s="19">
        <v>2</v>
      </c>
      <c r="I63" s="19">
        <v>2</v>
      </c>
      <c r="J63" s="19">
        <v>2</v>
      </c>
      <c r="K63" s="19">
        <v>2</v>
      </c>
      <c r="L63" s="19">
        <v>2</v>
      </c>
      <c r="M63" s="19">
        <v>2</v>
      </c>
      <c r="N63" s="19">
        <v>2</v>
      </c>
      <c r="O63" s="19">
        <v>2</v>
      </c>
      <c r="P63" s="19">
        <v>2</v>
      </c>
      <c r="Q63" s="19">
        <v>2</v>
      </c>
      <c r="R63" s="19">
        <v>2</v>
      </c>
      <c r="S63" s="19">
        <v>2</v>
      </c>
      <c r="T63" s="19">
        <v>2</v>
      </c>
      <c r="U63" s="19">
        <v>2</v>
      </c>
      <c r="V63" s="19">
        <v>2</v>
      </c>
      <c r="W63" s="20">
        <v>0</v>
      </c>
      <c r="X63" s="19">
        <v>0</v>
      </c>
      <c r="Y63" s="19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</row>
    <row r="64" spans="1:34" x14ac:dyDescent="0.3">
      <c r="A64" s="49"/>
      <c r="B64" s="46"/>
      <c r="C64" s="37" t="s">
        <v>92</v>
      </c>
      <c r="D64" s="37"/>
      <c r="E64" s="40" t="s">
        <v>127</v>
      </c>
      <c r="F64" s="40"/>
      <c r="G64" s="19">
        <v>4</v>
      </c>
      <c r="H64" s="19">
        <v>3</v>
      </c>
      <c r="I64" s="19">
        <v>3</v>
      </c>
      <c r="J64" s="19">
        <v>3</v>
      </c>
      <c r="K64" s="19">
        <v>3</v>
      </c>
      <c r="L64" s="19">
        <v>3</v>
      </c>
      <c r="M64" s="19">
        <v>3</v>
      </c>
      <c r="N64" s="19">
        <v>3</v>
      </c>
      <c r="O64" s="19">
        <v>3</v>
      </c>
      <c r="P64" s="19">
        <v>3</v>
      </c>
      <c r="Q64" s="19">
        <v>3</v>
      </c>
      <c r="R64" s="19">
        <v>3</v>
      </c>
      <c r="S64" s="19">
        <v>3</v>
      </c>
      <c r="T64" s="19">
        <v>3</v>
      </c>
      <c r="U64" s="19">
        <v>3</v>
      </c>
      <c r="V64" s="19">
        <v>3</v>
      </c>
      <c r="W64" s="19">
        <v>3</v>
      </c>
      <c r="X64" s="19">
        <v>3</v>
      </c>
      <c r="Y64" s="20">
        <v>0</v>
      </c>
      <c r="Z64" s="19">
        <v>0</v>
      </c>
      <c r="AA64" s="19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</row>
    <row r="65" spans="1:34" x14ac:dyDescent="0.3">
      <c r="A65" s="49"/>
      <c r="B65" s="46"/>
      <c r="C65" s="38"/>
      <c r="D65" s="39"/>
      <c r="E65" s="38"/>
      <c r="F65" s="41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12">
        <v>1</v>
      </c>
      <c r="Z65" s="34"/>
      <c r="AA65" s="34"/>
      <c r="AB65" s="34"/>
      <c r="AC65" s="34"/>
      <c r="AD65" s="34"/>
      <c r="AE65" s="34"/>
      <c r="AF65" s="34"/>
      <c r="AG65" s="34"/>
      <c r="AH65" s="34"/>
    </row>
    <row r="66" spans="1:34" x14ac:dyDescent="0.3">
      <c r="A66" s="49"/>
      <c r="B66" s="46"/>
      <c r="C66" s="37" t="s">
        <v>100</v>
      </c>
      <c r="D66" s="37"/>
      <c r="E66" s="40" t="s">
        <v>132</v>
      </c>
      <c r="F66" s="40"/>
      <c r="G66" s="19">
        <v>3</v>
      </c>
      <c r="H66" s="19">
        <v>3</v>
      </c>
      <c r="I66" s="19">
        <v>3</v>
      </c>
      <c r="J66" s="19">
        <v>3</v>
      </c>
      <c r="K66" s="19">
        <v>3</v>
      </c>
      <c r="L66" s="19">
        <v>3</v>
      </c>
      <c r="M66" s="19">
        <v>3</v>
      </c>
      <c r="N66" s="19">
        <v>3</v>
      </c>
      <c r="O66" s="19">
        <v>3</v>
      </c>
      <c r="P66" s="19">
        <v>3</v>
      </c>
      <c r="Q66" s="19">
        <v>3</v>
      </c>
      <c r="R66" s="19">
        <v>3</v>
      </c>
      <c r="S66" s="19">
        <v>3</v>
      </c>
      <c r="T66" s="19">
        <v>3</v>
      </c>
      <c r="U66" s="19">
        <v>3</v>
      </c>
      <c r="V66" s="19">
        <v>3</v>
      </c>
      <c r="W66" s="19">
        <v>3</v>
      </c>
      <c r="X66" s="19">
        <v>3</v>
      </c>
      <c r="Y66" s="20">
        <v>0</v>
      </c>
      <c r="Z66" s="19">
        <v>0</v>
      </c>
      <c r="AA66" s="19">
        <v>0</v>
      </c>
      <c r="AB66" s="19">
        <v>0</v>
      </c>
      <c r="AC66" s="19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</row>
    <row r="67" spans="1:34" x14ac:dyDescent="0.3">
      <c r="A67" s="49"/>
      <c r="B67" s="46"/>
      <c r="C67" s="37" t="s">
        <v>93</v>
      </c>
      <c r="D67" s="37"/>
      <c r="E67" s="40" t="s">
        <v>132</v>
      </c>
      <c r="F67" s="40"/>
      <c r="G67" s="19">
        <v>2</v>
      </c>
      <c r="H67" s="19">
        <v>2</v>
      </c>
      <c r="I67" s="19">
        <v>2</v>
      </c>
      <c r="J67" s="19">
        <v>2</v>
      </c>
      <c r="K67" s="19">
        <v>2</v>
      </c>
      <c r="L67" s="19">
        <v>2</v>
      </c>
      <c r="M67" s="19">
        <v>2</v>
      </c>
      <c r="N67" s="19">
        <v>2</v>
      </c>
      <c r="O67" s="19">
        <v>2</v>
      </c>
      <c r="P67" s="19">
        <v>2</v>
      </c>
      <c r="Q67" s="19">
        <v>2</v>
      </c>
      <c r="R67" s="19">
        <v>2</v>
      </c>
      <c r="S67" s="19">
        <v>2</v>
      </c>
      <c r="T67" s="19">
        <v>2</v>
      </c>
      <c r="U67" s="19">
        <v>2</v>
      </c>
      <c r="V67" s="19">
        <v>2</v>
      </c>
      <c r="W67" s="19">
        <v>2</v>
      </c>
      <c r="X67" s="19">
        <v>2</v>
      </c>
      <c r="Y67" s="20">
        <v>0</v>
      </c>
      <c r="Z67" s="19">
        <v>0</v>
      </c>
      <c r="AA67" s="1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</row>
    <row r="68" spans="1:34" x14ac:dyDescent="0.3">
      <c r="A68" s="49"/>
      <c r="B68" s="46"/>
      <c r="C68" s="37" t="s">
        <v>101</v>
      </c>
      <c r="D68" s="37"/>
      <c r="E68" s="40" t="s">
        <v>132</v>
      </c>
      <c r="F68" s="40"/>
      <c r="G68" s="19">
        <v>2</v>
      </c>
      <c r="H68" s="19">
        <v>2</v>
      </c>
      <c r="I68" s="19">
        <v>2</v>
      </c>
      <c r="J68" s="19">
        <v>2</v>
      </c>
      <c r="K68" s="19">
        <v>2</v>
      </c>
      <c r="L68" s="19">
        <v>2</v>
      </c>
      <c r="M68" s="19">
        <v>2</v>
      </c>
      <c r="N68" s="19">
        <v>2</v>
      </c>
      <c r="O68" s="19">
        <v>2</v>
      </c>
      <c r="P68" s="19">
        <v>2</v>
      </c>
      <c r="Q68" s="19">
        <v>2</v>
      </c>
      <c r="R68" s="19">
        <v>2</v>
      </c>
      <c r="S68" s="19">
        <v>2</v>
      </c>
      <c r="T68" s="19">
        <v>2</v>
      </c>
      <c r="U68" s="19">
        <v>2</v>
      </c>
      <c r="V68" s="19">
        <v>2</v>
      </c>
      <c r="W68" s="19">
        <v>2</v>
      </c>
      <c r="X68" s="19">
        <v>2</v>
      </c>
      <c r="Y68" s="20">
        <v>0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</row>
    <row r="69" spans="1:34" x14ac:dyDescent="0.3">
      <c r="A69" s="49"/>
      <c r="B69" s="46"/>
      <c r="C69" s="37" t="s">
        <v>94</v>
      </c>
      <c r="D69" s="37"/>
      <c r="E69" s="40" t="s">
        <v>132</v>
      </c>
      <c r="F69" s="40"/>
      <c r="G69" s="19">
        <v>4</v>
      </c>
      <c r="H69" s="19">
        <v>2</v>
      </c>
      <c r="I69" s="19">
        <v>2</v>
      </c>
      <c r="J69" s="19">
        <v>2</v>
      </c>
      <c r="K69" s="19">
        <v>2</v>
      </c>
      <c r="L69" s="19">
        <v>2</v>
      </c>
      <c r="M69" s="19">
        <v>2</v>
      </c>
      <c r="N69" s="19">
        <v>2</v>
      </c>
      <c r="O69" s="19">
        <v>2</v>
      </c>
      <c r="P69" s="19">
        <v>2</v>
      </c>
      <c r="Q69" s="19">
        <v>2</v>
      </c>
      <c r="R69" s="19">
        <v>2</v>
      </c>
      <c r="S69" s="19">
        <v>2</v>
      </c>
      <c r="T69" s="19">
        <v>2</v>
      </c>
      <c r="U69" s="19">
        <v>2</v>
      </c>
      <c r="V69" s="19">
        <v>2</v>
      </c>
      <c r="W69" s="19">
        <v>2</v>
      </c>
      <c r="X69" s="19">
        <v>2</v>
      </c>
      <c r="Y69" s="19">
        <v>2</v>
      </c>
      <c r="Z69" s="19">
        <v>0</v>
      </c>
      <c r="AA69" s="20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>
        <v>0</v>
      </c>
    </row>
    <row r="70" spans="1:34" x14ac:dyDescent="0.3">
      <c r="A70" s="49"/>
      <c r="B70" s="46"/>
      <c r="C70" s="38"/>
      <c r="D70" s="39"/>
      <c r="E70" s="38"/>
      <c r="F70" s="41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12">
        <v>2</v>
      </c>
      <c r="AB70" s="34"/>
      <c r="AC70" s="34"/>
      <c r="AD70" s="34"/>
      <c r="AE70" s="34"/>
      <c r="AF70" s="34"/>
      <c r="AG70" s="34"/>
      <c r="AH70" s="34"/>
    </row>
    <row r="71" spans="1:34" x14ac:dyDescent="0.3">
      <c r="A71" s="49"/>
      <c r="B71" s="46"/>
      <c r="C71" s="37" t="s">
        <v>209</v>
      </c>
      <c r="D71" s="37"/>
      <c r="E71" s="40" t="s">
        <v>132</v>
      </c>
      <c r="F71" s="40"/>
      <c r="G71" s="19">
        <v>2</v>
      </c>
      <c r="H71" s="19">
        <v>2</v>
      </c>
      <c r="I71" s="19">
        <v>2</v>
      </c>
      <c r="J71" s="19">
        <v>2</v>
      </c>
      <c r="K71" s="19">
        <v>2</v>
      </c>
      <c r="L71" s="19">
        <v>2</v>
      </c>
      <c r="M71" s="19">
        <v>2</v>
      </c>
      <c r="N71" s="19">
        <v>2</v>
      </c>
      <c r="O71" s="19">
        <v>2</v>
      </c>
      <c r="P71" s="19">
        <v>2</v>
      </c>
      <c r="Q71" s="19">
        <v>2</v>
      </c>
      <c r="R71" s="19">
        <v>2</v>
      </c>
      <c r="S71" s="19">
        <v>2</v>
      </c>
      <c r="T71" s="19">
        <v>2</v>
      </c>
      <c r="U71" s="19">
        <v>2</v>
      </c>
      <c r="V71" s="19">
        <v>2</v>
      </c>
      <c r="W71" s="19">
        <v>2</v>
      </c>
      <c r="X71" s="19">
        <v>2</v>
      </c>
      <c r="Y71" s="19">
        <v>2</v>
      </c>
      <c r="Z71" s="19">
        <v>0</v>
      </c>
      <c r="AA71" s="20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>
        <v>0</v>
      </c>
    </row>
    <row r="72" spans="1:34" x14ac:dyDescent="0.3">
      <c r="A72" s="49"/>
      <c r="B72" s="46"/>
      <c r="C72" s="37" t="s">
        <v>95</v>
      </c>
      <c r="D72" s="37"/>
      <c r="E72" s="40" t="s">
        <v>132</v>
      </c>
      <c r="F72" s="40"/>
      <c r="G72" s="19">
        <v>3</v>
      </c>
      <c r="H72" s="19">
        <v>3</v>
      </c>
      <c r="I72" s="19">
        <v>3</v>
      </c>
      <c r="J72" s="19">
        <v>3</v>
      </c>
      <c r="K72" s="19">
        <v>3</v>
      </c>
      <c r="L72" s="19">
        <v>3</v>
      </c>
      <c r="M72" s="19">
        <v>3</v>
      </c>
      <c r="N72" s="19">
        <v>3</v>
      </c>
      <c r="O72" s="19">
        <v>3</v>
      </c>
      <c r="P72" s="19">
        <v>3</v>
      </c>
      <c r="Q72" s="19">
        <v>3</v>
      </c>
      <c r="R72" s="19">
        <v>3</v>
      </c>
      <c r="S72" s="19">
        <v>3</v>
      </c>
      <c r="T72" s="19">
        <v>3</v>
      </c>
      <c r="U72" s="19">
        <v>3</v>
      </c>
      <c r="V72" s="19">
        <v>3</v>
      </c>
      <c r="W72" s="19">
        <v>3</v>
      </c>
      <c r="X72" s="19">
        <v>3</v>
      </c>
      <c r="Y72" s="19">
        <v>3</v>
      </c>
      <c r="Z72" s="19">
        <v>3</v>
      </c>
      <c r="AB72" s="20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>
        <v>0</v>
      </c>
    </row>
    <row r="73" spans="1:34" x14ac:dyDescent="0.3">
      <c r="A73" s="49"/>
      <c r="B73" s="46"/>
      <c r="C73" s="37" t="s">
        <v>102</v>
      </c>
      <c r="D73" s="37"/>
      <c r="E73" s="40" t="s">
        <v>132</v>
      </c>
      <c r="F73" s="40"/>
      <c r="G73" s="19">
        <v>3</v>
      </c>
      <c r="H73" s="19">
        <v>3</v>
      </c>
      <c r="I73" s="19">
        <v>3</v>
      </c>
      <c r="J73" s="19">
        <v>3</v>
      </c>
      <c r="K73" s="19">
        <v>3</v>
      </c>
      <c r="L73" s="19">
        <v>3</v>
      </c>
      <c r="M73" s="19">
        <v>3</v>
      </c>
      <c r="N73" s="19">
        <v>3</v>
      </c>
      <c r="O73" s="19">
        <v>3</v>
      </c>
      <c r="P73" s="19">
        <v>3</v>
      </c>
      <c r="Q73" s="19">
        <v>3</v>
      </c>
      <c r="R73" s="19">
        <v>3</v>
      </c>
      <c r="S73" s="19">
        <v>3</v>
      </c>
      <c r="T73" s="19">
        <v>3</v>
      </c>
      <c r="U73" s="19">
        <v>3</v>
      </c>
      <c r="V73" s="19">
        <v>3</v>
      </c>
      <c r="W73" s="19">
        <v>3</v>
      </c>
      <c r="X73" s="19">
        <v>3</v>
      </c>
      <c r="Y73" s="19">
        <v>3</v>
      </c>
      <c r="Z73" s="19">
        <v>3</v>
      </c>
      <c r="AA73" s="19">
        <v>3</v>
      </c>
      <c r="AB73" s="20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</row>
    <row r="74" spans="1:34" x14ac:dyDescent="0.3">
      <c r="A74" s="49"/>
      <c r="B74" s="47"/>
      <c r="C74" s="37" t="s">
        <v>26</v>
      </c>
      <c r="D74" s="37"/>
      <c r="E74" s="40" t="s">
        <v>54</v>
      </c>
      <c r="F74" s="40"/>
      <c r="G74" s="19">
        <v>4</v>
      </c>
      <c r="H74" s="19">
        <v>4</v>
      </c>
      <c r="I74" s="19">
        <v>4</v>
      </c>
      <c r="J74" s="19">
        <v>4</v>
      </c>
      <c r="K74" s="19">
        <v>4</v>
      </c>
      <c r="L74" s="19">
        <v>4</v>
      </c>
      <c r="M74" s="19">
        <v>4</v>
      </c>
      <c r="N74" s="19">
        <v>4</v>
      </c>
      <c r="O74" s="19">
        <v>4</v>
      </c>
      <c r="P74" s="19">
        <v>4</v>
      </c>
      <c r="Q74" s="19">
        <v>4</v>
      </c>
      <c r="R74" s="19">
        <v>4</v>
      </c>
      <c r="S74" s="19">
        <v>4</v>
      </c>
      <c r="T74" s="19">
        <v>4</v>
      </c>
      <c r="U74" s="19">
        <v>4</v>
      </c>
      <c r="V74" s="19">
        <v>4</v>
      </c>
      <c r="W74" s="19">
        <v>4</v>
      </c>
      <c r="X74" s="19">
        <v>4</v>
      </c>
      <c r="Y74" s="19">
        <v>4</v>
      </c>
      <c r="Z74" s="19">
        <v>4</v>
      </c>
      <c r="AA74" s="19">
        <v>4</v>
      </c>
      <c r="AB74" s="20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>
        <v>0</v>
      </c>
    </row>
    <row r="75" spans="1:34" x14ac:dyDescent="0.3">
      <c r="A75" s="49"/>
      <c r="B75" s="45" t="s">
        <v>30</v>
      </c>
      <c r="C75" s="37" t="s">
        <v>28</v>
      </c>
      <c r="D75" s="37"/>
      <c r="E75" s="40" t="s">
        <v>130</v>
      </c>
      <c r="F75" s="40"/>
      <c r="G75" s="19">
        <v>1.5</v>
      </c>
      <c r="H75" s="19">
        <v>2</v>
      </c>
      <c r="I75" s="19">
        <v>2</v>
      </c>
      <c r="J75" s="19">
        <v>2</v>
      </c>
      <c r="K75" s="19">
        <v>2</v>
      </c>
      <c r="L75" s="19">
        <v>2</v>
      </c>
      <c r="M75" s="19">
        <v>2</v>
      </c>
      <c r="N75" s="19">
        <v>2</v>
      </c>
      <c r="O75" s="19">
        <v>2</v>
      </c>
      <c r="P75" s="19">
        <v>2</v>
      </c>
      <c r="Q75" s="19">
        <v>2</v>
      </c>
      <c r="R75" s="19">
        <v>2</v>
      </c>
      <c r="S75" s="19">
        <v>2</v>
      </c>
      <c r="T75" s="19">
        <v>2</v>
      </c>
      <c r="U75" s="19">
        <v>2</v>
      </c>
      <c r="V75" s="19">
        <v>2</v>
      </c>
      <c r="W75" s="19">
        <v>2</v>
      </c>
      <c r="X75" s="19">
        <v>2</v>
      </c>
      <c r="Y75" s="19">
        <v>2</v>
      </c>
      <c r="Z75" s="19">
        <v>2</v>
      </c>
      <c r="AA75" s="19">
        <v>2</v>
      </c>
      <c r="AB75" s="19">
        <v>1.5</v>
      </c>
      <c r="AC75" s="20">
        <v>0</v>
      </c>
      <c r="AD75" s="19">
        <v>0</v>
      </c>
      <c r="AE75" s="19">
        <v>0</v>
      </c>
      <c r="AF75" s="19">
        <v>0</v>
      </c>
      <c r="AG75" s="19">
        <v>0</v>
      </c>
      <c r="AH75" s="19">
        <v>0</v>
      </c>
    </row>
    <row r="76" spans="1:34" ht="17.399999999999999" thickBot="1" x14ac:dyDescent="0.35">
      <c r="A76" s="49"/>
      <c r="B76" s="46"/>
      <c r="C76" s="38"/>
      <c r="D76" s="39"/>
      <c r="E76" s="38"/>
      <c r="F76" s="41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14">
        <v>0.5</v>
      </c>
      <c r="AD76" s="34"/>
      <c r="AE76" s="34"/>
      <c r="AF76" s="34"/>
      <c r="AG76" s="34"/>
      <c r="AH76" s="34"/>
    </row>
    <row r="77" spans="1:34" x14ac:dyDescent="0.3">
      <c r="A77" s="49"/>
      <c r="B77" s="46"/>
      <c r="C77" s="37" t="s">
        <v>29</v>
      </c>
      <c r="D77" s="37"/>
      <c r="E77" s="40" t="s">
        <v>130</v>
      </c>
      <c r="F77" s="40"/>
      <c r="G77" s="19">
        <v>3</v>
      </c>
      <c r="H77" s="19">
        <v>3</v>
      </c>
      <c r="I77" s="19">
        <v>3</v>
      </c>
      <c r="J77" s="19">
        <v>3</v>
      </c>
      <c r="K77" s="19">
        <v>3</v>
      </c>
      <c r="L77" s="19">
        <v>3</v>
      </c>
      <c r="M77" s="19">
        <v>3</v>
      </c>
      <c r="N77" s="19">
        <v>3</v>
      </c>
      <c r="O77" s="19">
        <v>3</v>
      </c>
      <c r="P77" s="19">
        <v>3</v>
      </c>
      <c r="Q77" s="19">
        <v>3</v>
      </c>
      <c r="R77" s="19">
        <v>3</v>
      </c>
      <c r="S77" s="19">
        <v>3</v>
      </c>
      <c r="T77" s="19">
        <v>3</v>
      </c>
      <c r="U77" s="19">
        <v>3</v>
      </c>
      <c r="V77" s="19">
        <v>3</v>
      </c>
      <c r="W77" s="19">
        <v>3</v>
      </c>
      <c r="X77" s="19">
        <v>3</v>
      </c>
      <c r="Y77" s="19">
        <v>3</v>
      </c>
      <c r="Z77" s="19">
        <v>3</v>
      </c>
      <c r="AA77" s="19">
        <v>3</v>
      </c>
      <c r="AB77" s="19">
        <v>3</v>
      </c>
      <c r="AC77" s="20">
        <v>0</v>
      </c>
      <c r="AD77" s="19">
        <v>0</v>
      </c>
      <c r="AE77" s="19">
        <v>0</v>
      </c>
      <c r="AF77" s="19">
        <v>0</v>
      </c>
      <c r="AG77" s="19">
        <v>0</v>
      </c>
      <c r="AH77" s="19">
        <v>0</v>
      </c>
    </row>
    <row r="78" spans="1:34" x14ac:dyDescent="0.3">
      <c r="A78" s="49"/>
      <c r="B78" s="46"/>
      <c r="C78" s="37" t="s">
        <v>103</v>
      </c>
      <c r="D78" s="37"/>
      <c r="E78" s="40" t="s">
        <v>131</v>
      </c>
      <c r="F78" s="40"/>
      <c r="G78" s="19">
        <v>3</v>
      </c>
      <c r="H78" s="19">
        <v>3</v>
      </c>
      <c r="I78" s="19">
        <v>3</v>
      </c>
      <c r="J78" s="19">
        <v>3</v>
      </c>
      <c r="K78" s="19">
        <v>3</v>
      </c>
      <c r="L78" s="19">
        <v>3</v>
      </c>
      <c r="M78" s="19">
        <v>3</v>
      </c>
      <c r="N78" s="19">
        <v>3</v>
      </c>
      <c r="O78" s="19">
        <v>3</v>
      </c>
      <c r="P78" s="19">
        <v>3</v>
      </c>
      <c r="Q78" s="19">
        <v>3</v>
      </c>
      <c r="R78" s="19">
        <v>3</v>
      </c>
      <c r="S78" s="19">
        <v>3</v>
      </c>
      <c r="T78" s="19">
        <v>3</v>
      </c>
      <c r="U78" s="19">
        <v>3</v>
      </c>
      <c r="V78" s="19">
        <v>3</v>
      </c>
      <c r="W78" s="19">
        <v>3</v>
      </c>
      <c r="X78" s="19">
        <v>3</v>
      </c>
      <c r="Y78" s="19">
        <v>3</v>
      </c>
      <c r="Z78" s="19">
        <v>3</v>
      </c>
      <c r="AA78" s="19">
        <v>3</v>
      </c>
      <c r="AB78" s="19">
        <v>3</v>
      </c>
      <c r="AC78" s="20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</row>
    <row r="79" spans="1:34" x14ac:dyDescent="0.3">
      <c r="A79" s="49"/>
      <c r="B79" s="46"/>
      <c r="C79" s="37" t="s">
        <v>170</v>
      </c>
      <c r="D79" s="37"/>
      <c r="E79" s="40" t="s">
        <v>130</v>
      </c>
      <c r="F79" s="40"/>
      <c r="G79" s="19">
        <v>3</v>
      </c>
      <c r="H79" s="19">
        <v>3</v>
      </c>
      <c r="I79" s="19">
        <v>3</v>
      </c>
      <c r="J79" s="19">
        <v>3</v>
      </c>
      <c r="K79" s="19">
        <v>3</v>
      </c>
      <c r="L79" s="19">
        <v>3</v>
      </c>
      <c r="M79" s="19">
        <v>3</v>
      </c>
      <c r="N79" s="19">
        <v>3</v>
      </c>
      <c r="O79" s="19">
        <v>3</v>
      </c>
      <c r="P79" s="19">
        <v>3</v>
      </c>
      <c r="Q79" s="19">
        <v>3</v>
      </c>
      <c r="R79" s="19">
        <v>3</v>
      </c>
      <c r="S79" s="19">
        <v>3</v>
      </c>
      <c r="T79" s="19">
        <v>3</v>
      </c>
      <c r="U79" s="19">
        <v>3</v>
      </c>
      <c r="V79" s="19">
        <v>3</v>
      </c>
      <c r="W79" s="19">
        <v>3</v>
      </c>
      <c r="X79" s="19">
        <v>3</v>
      </c>
      <c r="Y79" s="19">
        <v>3</v>
      </c>
      <c r="Z79" s="19">
        <v>3</v>
      </c>
      <c r="AA79" s="19">
        <v>3</v>
      </c>
      <c r="AB79" s="19">
        <v>3</v>
      </c>
      <c r="AC79" s="20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</row>
    <row r="80" spans="1:34" x14ac:dyDescent="0.3">
      <c r="A80" s="49"/>
      <c r="B80" s="46"/>
      <c r="C80" s="37" t="s">
        <v>173</v>
      </c>
      <c r="D80" s="37"/>
      <c r="E80" s="40" t="s">
        <v>130</v>
      </c>
      <c r="F80" s="40"/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20">
        <v>0</v>
      </c>
      <c r="AD80" s="19">
        <v>0</v>
      </c>
      <c r="AE80" s="19">
        <v>0</v>
      </c>
      <c r="AF80" s="19">
        <v>0</v>
      </c>
      <c r="AG80" s="19">
        <v>0</v>
      </c>
      <c r="AH80" s="19">
        <v>0</v>
      </c>
    </row>
    <row r="81" spans="1:34" x14ac:dyDescent="0.3">
      <c r="A81" s="49"/>
      <c r="B81" s="46"/>
      <c r="C81" s="37" t="s">
        <v>105</v>
      </c>
      <c r="D81" s="37"/>
      <c r="E81" s="40" t="s">
        <v>131</v>
      </c>
      <c r="F81" s="40"/>
      <c r="G81" s="19">
        <v>3</v>
      </c>
      <c r="H81" s="19">
        <v>3</v>
      </c>
      <c r="I81" s="19">
        <v>3</v>
      </c>
      <c r="J81" s="19">
        <v>3</v>
      </c>
      <c r="K81" s="19">
        <v>3</v>
      </c>
      <c r="L81" s="19">
        <v>3</v>
      </c>
      <c r="M81" s="19">
        <v>3</v>
      </c>
      <c r="N81" s="19">
        <v>3</v>
      </c>
      <c r="O81" s="19">
        <v>3</v>
      </c>
      <c r="P81" s="19">
        <v>3</v>
      </c>
      <c r="Q81" s="19">
        <v>3</v>
      </c>
      <c r="R81" s="19">
        <v>3</v>
      </c>
      <c r="S81" s="19">
        <v>3</v>
      </c>
      <c r="T81" s="19">
        <v>3</v>
      </c>
      <c r="U81" s="19">
        <v>3</v>
      </c>
      <c r="V81" s="19">
        <v>3</v>
      </c>
      <c r="W81" s="19">
        <v>3</v>
      </c>
      <c r="X81" s="19">
        <v>3</v>
      </c>
      <c r="Y81" s="19">
        <v>3</v>
      </c>
      <c r="Z81" s="19">
        <v>3</v>
      </c>
      <c r="AA81" s="19">
        <v>3</v>
      </c>
      <c r="AB81" s="19">
        <v>3</v>
      </c>
      <c r="AC81" s="19">
        <v>3</v>
      </c>
      <c r="AD81" s="20">
        <v>0</v>
      </c>
      <c r="AE81" s="19">
        <v>0</v>
      </c>
      <c r="AF81" s="19">
        <v>0</v>
      </c>
      <c r="AG81" s="19">
        <v>0</v>
      </c>
      <c r="AH81" s="19">
        <v>0</v>
      </c>
    </row>
    <row r="82" spans="1:34" x14ac:dyDescent="0.3">
      <c r="A82" s="49"/>
      <c r="B82" s="46"/>
      <c r="C82" s="37" t="s">
        <v>106</v>
      </c>
      <c r="D82" s="37"/>
      <c r="E82" s="40" t="s">
        <v>128</v>
      </c>
      <c r="F82" s="40"/>
      <c r="G82" s="19">
        <v>4</v>
      </c>
      <c r="H82" s="19">
        <v>4</v>
      </c>
      <c r="I82" s="19">
        <v>4</v>
      </c>
      <c r="J82" s="19">
        <v>4</v>
      </c>
      <c r="K82" s="19">
        <v>4</v>
      </c>
      <c r="L82" s="19">
        <v>4</v>
      </c>
      <c r="M82" s="19">
        <v>4</v>
      </c>
      <c r="N82" s="19">
        <v>4</v>
      </c>
      <c r="O82" s="19">
        <v>4</v>
      </c>
      <c r="P82" s="19">
        <v>4</v>
      </c>
      <c r="Q82" s="19">
        <v>4</v>
      </c>
      <c r="R82" s="19">
        <v>4</v>
      </c>
      <c r="S82" s="19">
        <v>4</v>
      </c>
      <c r="T82" s="19">
        <v>4</v>
      </c>
      <c r="U82" s="19">
        <v>4</v>
      </c>
      <c r="V82" s="19">
        <v>4</v>
      </c>
      <c r="W82" s="19">
        <v>4</v>
      </c>
      <c r="X82" s="19">
        <v>4</v>
      </c>
      <c r="Y82" s="19">
        <v>4</v>
      </c>
      <c r="Z82" s="19">
        <v>4</v>
      </c>
      <c r="AA82" s="19">
        <v>4</v>
      </c>
      <c r="AB82" s="19">
        <v>4</v>
      </c>
      <c r="AC82" s="19">
        <v>4</v>
      </c>
      <c r="AD82" s="20">
        <v>0</v>
      </c>
      <c r="AE82" s="19">
        <v>0</v>
      </c>
      <c r="AF82" s="19">
        <v>0</v>
      </c>
      <c r="AG82" s="19">
        <v>0</v>
      </c>
      <c r="AH82" s="19">
        <v>0</v>
      </c>
    </row>
    <row r="83" spans="1:34" x14ac:dyDescent="0.3">
      <c r="A83" s="49"/>
      <c r="B83" s="46"/>
      <c r="C83" s="37" t="s">
        <v>107</v>
      </c>
      <c r="D83" s="37"/>
      <c r="E83" s="40" t="s">
        <v>130</v>
      </c>
      <c r="F83" s="40"/>
      <c r="G83" s="19">
        <v>4</v>
      </c>
      <c r="H83" s="19">
        <v>4</v>
      </c>
      <c r="I83" s="19">
        <v>4</v>
      </c>
      <c r="J83" s="19">
        <v>4</v>
      </c>
      <c r="K83" s="19">
        <v>4</v>
      </c>
      <c r="L83" s="19">
        <v>4</v>
      </c>
      <c r="M83" s="19">
        <v>4</v>
      </c>
      <c r="N83" s="19">
        <v>4</v>
      </c>
      <c r="O83" s="19">
        <v>4</v>
      </c>
      <c r="P83" s="19">
        <v>4</v>
      </c>
      <c r="Q83" s="19">
        <v>4</v>
      </c>
      <c r="R83" s="19">
        <v>4</v>
      </c>
      <c r="S83" s="19">
        <v>4</v>
      </c>
      <c r="T83" s="19">
        <v>4</v>
      </c>
      <c r="U83" s="19">
        <v>4</v>
      </c>
      <c r="V83" s="19">
        <v>4</v>
      </c>
      <c r="W83" s="19">
        <v>4</v>
      </c>
      <c r="X83" s="19">
        <v>4</v>
      </c>
      <c r="Y83" s="19">
        <v>4</v>
      </c>
      <c r="Z83" s="19">
        <v>4</v>
      </c>
      <c r="AA83" s="19">
        <v>4</v>
      </c>
      <c r="AB83" s="19">
        <v>4</v>
      </c>
      <c r="AC83" s="19">
        <v>4</v>
      </c>
      <c r="AD83" s="20">
        <v>0</v>
      </c>
      <c r="AE83" s="19">
        <v>0</v>
      </c>
      <c r="AF83" s="19">
        <v>0</v>
      </c>
      <c r="AG83" s="19">
        <v>0</v>
      </c>
      <c r="AH83" s="19">
        <v>0</v>
      </c>
    </row>
    <row r="84" spans="1:34" x14ac:dyDescent="0.3">
      <c r="A84" s="49"/>
      <c r="B84" s="46"/>
      <c r="C84" s="37" t="s">
        <v>108</v>
      </c>
      <c r="D84" s="37"/>
      <c r="E84" s="40" t="s">
        <v>128</v>
      </c>
      <c r="F84" s="40"/>
      <c r="G84" s="19">
        <v>5</v>
      </c>
      <c r="H84" s="19">
        <v>4</v>
      </c>
      <c r="I84" s="19">
        <v>4</v>
      </c>
      <c r="J84" s="19">
        <v>4</v>
      </c>
      <c r="K84" s="19">
        <v>4</v>
      </c>
      <c r="L84" s="19">
        <v>4</v>
      </c>
      <c r="M84" s="19">
        <v>4</v>
      </c>
      <c r="N84" s="19">
        <v>4</v>
      </c>
      <c r="O84" s="19">
        <v>4</v>
      </c>
      <c r="P84" s="19">
        <v>4</v>
      </c>
      <c r="Q84" s="19">
        <v>4</v>
      </c>
      <c r="R84" s="19">
        <v>4</v>
      </c>
      <c r="S84" s="19">
        <v>4</v>
      </c>
      <c r="T84" s="19">
        <v>4</v>
      </c>
      <c r="U84" s="19">
        <v>4</v>
      </c>
      <c r="V84" s="19">
        <v>4</v>
      </c>
      <c r="W84" s="19">
        <v>4</v>
      </c>
      <c r="X84" s="19">
        <v>4</v>
      </c>
      <c r="Y84" s="19">
        <v>4</v>
      </c>
      <c r="Z84" s="19">
        <v>4</v>
      </c>
      <c r="AA84" s="19">
        <v>4</v>
      </c>
      <c r="AB84" s="19">
        <v>4</v>
      </c>
      <c r="AC84" s="19">
        <v>4</v>
      </c>
      <c r="AD84" s="20">
        <v>0</v>
      </c>
      <c r="AE84" s="19">
        <v>0</v>
      </c>
      <c r="AF84" s="19">
        <v>0</v>
      </c>
      <c r="AG84" s="19">
        <v>0</v>
      </c>
      <c r="AH84" s="19">
        <v>0</v>
      </c>
    </row>
    <row r="85" spans="1:34" x14ac:dyDescent="0.3">
      <c r="A85" s="49"/>
      <c r="B85" s="46"/>
      <c r="C85" s="38"/>
      <c r="D85" s="39"/>
      <c r="E85" s="38"/>
      <c r="F85" s="41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12">
        <v>1</v>
      </c>
      <c r="AE85" s="34"/>
      <c r="AF85" s="34"/>
      <c r="AG85" s="34"/>
      <c r="AH85" s="34"/>
    </row>
    <row r="86" spans="1:34" x14ac:dyDescent="0.3">
      <c r="A86" s="49"/>
      <c r="B86" s="46"/>
      <c r="C86" s="37" t="s">
        <v>109</v>
      </c>
      <c r="D86" s="37"/>
      <c r="E86" s="40" t="s">
        <v>129</v>
      </c>
      <c r="F86" s="40"/>
      <c r="G86" s="19">
        <v>4</v>
      </c>
      <c r="H86" s="19">
        <v>4</v>
      </c>
      <c r="I86" s="19">
        <v>4</v>
      </c>
      <c r="J86" s="19">
        <v>4</v>
      </c>
      <c r="K86" s="19">
        <v>4</v>
      </c>
      <c r="L86" s="19">
        <v>4</v>
      </c>
      <c r="M86" s="19">
        <v>4</v>
      </c>
      <c r="N86" s="19">
        <v>4</v>
      </c>
      <c r="O86" s="19">
        <v>4</v>
      </c>
      <c r="P86" s="19">
        <v>4</v>
      </c>
      <c r="Q86" s="19">
        <v>4</v>
      </c>
      <c r="R86" s="19">
        <v>4</v>
      </c>
      <c r="S86" s="19">
        <v>4</v>
      </c>
      <c r="T86" s="19">
        <v>4</v>
      </c>
      <c r="U86" s="19">
        <v>4</v>
      </c>
      <c r="V86" s="19">
        <v>4</v>
      </c>
      <c r="W86" s="19">
        <v>4</v>
      </c>
      <c r="X86" s="19">
        <v>4</v>
      </c>
      <c r="Y86" s="19">
        <v>4</v>
      </c>
      <c r="Z86" s="19">
        <v>4</v>
      </c>
      <c r="AA86" s="19">
        <v>4</v>
      </c>
      <c r="AB86" s="19">
        <v>4</v>
      </c>
      <c r="AC86" s="19">
        <v>4</v>
      </c>
      <c r="AD86" s="20">
        <v>0</v>
      </c>
      <c r="AE86" s="19">
        <v>0</v>
      </c>
      <c r="AF86" s="19">
        <v>0</v>
      </c>
      <c r="AG86" s="19">
        <v>0</v>
      </c>
      <c r="AH86" s="19">
        <v>0</v>
      </c>
    </row>
    <row r="87" spans="1:34" x14ac:dyDescent="0.3">
      <c r="A87" s="49"/>
      <c r="B87" s="47"/>
      <c r="C87" s="37" t="s">
        <v>110</v>
      </c>
      <c r="D87" s="37"/>
      <c r="E87" s="40" t="s">
        <v>130</v>
      </c>
      <c r="F87" s="40"/>
      <c r="G87" s="19">
        <v>2</v>
      </c>
      <c r="H87" s="19">
        <v>2</v>
      </c>
      <c r="I87" s="19">
        <v>2</v>
      </c>
      <c r="J87" s="19">
        <v>2</v>
      </c>
      <c r="K87" s="19">
        <v>2</v>
      </c>
      <c r="L87" s="19">
        <v>2</v>
      </c>
      <c r="M87" s="19">
        <v>2</v>
      </c>
      <c r="N87" s="19">
        <v>2</v>
      </c>
      <c r="O87" s="19">
        <v>2</v>
      </c>
      <c r="P87" s="19">
        <v>2</v>
      </c>
      <c r="Q87" s="19">
        <v>2</v>
      </c>
      <c r="R87" s="19">
        <v>2</v>
      </c>
      <c r="S87" s="19">
        <v>2</v>
      </c>
      <c r="T87" s="19">
        <v>2</v>
      </c>
      <c r="U87" s="19">
        <v>2</v>
      </c>
      <c r="V87" s="19">
        <v>2</v>
      </c>
      <c r="W87" s="19">
        <v>2</v>
      </c>
      <c r="X87" s="19">
        <v>2</v>
      </c>
      <c r="Y87" s="19">
        <v>2</v>
      </c>
      <c r="Z87" s="19">
        <v>2</v>
      </c>
      <c r="AA87" s="19">
        <v>2</v>
      </c>
      <c r="AB87" s="19">
        <v>2</v>
      </c>
      <c r="AC87" s="19">
        <v>2</v>
      </c>
      <c r="AD87" s="20">
        <v>0</v>
      </c>
      <c r="AE87" s="19">
        <v>0</v>
      </c>
      <c r="AF87" s="19">
        <v>0</v>
      </c>
      <c r="AG87" s="19">
        <v>0</v>
      </c>
      <c r="AH87" s="19">
        <v>0</v>
      </c>
    </row>
    <row r="88" spans="1:34" x14ac:dyDescent="0.3">
      <c r="A88" s="49"/>
      <c r="B88" s="45" t="s">
        <v>33</v>
      </c>
      <c r="C88" s="37" t="s">
        <v>31</v>
      </c>
      <c r="D88" s="37"/>
      <c r="E88" s="40" t="s">
        <v>133</v>
      </c>
      <c r="F88" s="40"/>
      <c r="G88" s="19">
        <v>2</v>
      </c>
      <c r="H88" s="19">
        <v>2</v>
      </c>
      <c r="I88" s="19">
        <v>2</v>
      </c>
      <c r="J88" s="19">
        <v>2</v>
      </c>
      <c r="K88" s="19">
        <v>2</v>
      </c>
      <c r="L88" s="19">
        <v>2</v>
      </c>
      <c r="M88" s="19">
        <v>2</v>
      </c>
      <c r="N88" s="19">
        <v>2</v>
      </c>
      <c r="O88" s="19">
        <v>2</v>
      </c>
      <c r="P88" s="19">
        <v>2</v>
      </c>
      <c r="Q88" s="19">
        <v>2</v>
      </c>
      <c r="R88" s="19">
        <v>2</v>
      </c>
      <c r="S88" s="19">
        <v>2</v>
      </c>
      <c r="T88" s="19">
        <v>2</v>
      </c>
      <c r="U88" s="19">
        <v>2</v>
      </c>
      <c r="V88" s="19">
        <v>2</v>
      </c>
      <c r="W88" s="19">
        <v>2</v>
      </c>
      <c r="X88" s="19">
        <v>2</v>
      </c>
      <c r="Y88" s="19">
        <v>2</v>
      </c>
      <c r="Z88" s="19">
        <v>2</v>
      </c>
      <c r="AA88" s="19">
        <v>2</v>
      </c>
      <c r="AB88" s="19">
        <v>2</v>
      </c>
      <c r="AC88" s="19">
        <v>2</v>
      </c>
      <c r="AD88" s="19">
        <v>2</v>
      </c>
      <c r="AE88" s="20">
        <v>0</v>
      </c>
      <c r="AF88" s="19">
        <v>0</v>
      </c>
      <c r="AG88" s="19">
        <v>0</v>
      </c>
      <c r="AH88" s="19">
        <v>0</v>
      </c>
    </row>
    <row r="89" spans="1:34" x14ac:dyDescent="0.3">
      <c r="A89" s="49"/>
      <c r="B89" s="46"/>
      <c r="C89" s="37" t="s">
        <v>32</v>
      </c>
      <c r="D89" s="37"/>
      <c r="E89" s="40" t="s">
        <v>134</v>
      </c>
      <c r="F89" s="40"/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9">
        <v>3</v>
      </c>
      <c r="N89" s="19">
        <v>3</v>
      </c>
      <c r="O89" s="19">
        <v>3</v>
      </c>
      <c r="P89" s="19">
        <v>3</v>
      </c>
      <c r="Q89" s="19">
        <v>3</v>
      </c>
      <c r="R89" s="19">
        <v>3</v>
      </c>
      <c r="S89" s="19">
        <v>3</v>
      </c>
      <c r="T89" s="19">
        <v>3</v>
      </c>
      <c r="U89" s="19">
        <v>3</v>
      </c>
      <c r="V89" s="19">
        <v>3</v>
      </c>
      <c r="W89" s="19">
        <v>3</v>
      </c>
      <c r="X89" s="19">
        <v>3</v>
      </c>
      <c r="Y89" s="19">
        <v>3</v>
      </c>
      <c r="Z89" s="19">
        <v>3</v>
      </c>
      <c r="AA89" s="19">
        <v>3</v>
      </c>
      <c r="AB89" s="19">
        <v>3</v>
      </c>
      <c r="AC89" s="19">
        <v>3</v>
      </c>
      <c r="AD89" s="19">
        <v>3</v>
      </c>
      <c r="AE89" s="20">
        <v>0</v>
      </c>
      <c r="AF89" s="19">
        <v>0</v>
      </c>
      <c r="AG89" s="19">
        <v>0</v>
      </c>
      <c r="AH89" s="19">
        <v>0</v>
      </c>
    </row>
    <row r="90" spans="1:34" x14ac:dyDescent="0.3">
      <c r="A90" s="49"/>
      <c r="B90" s="46"/>
      <c r="C90" s="37" t="s">
        <v>111</v>
      </c>
      <c r="D90" s="37"/>
      <c r="E90" s="40" t="s">
        <v>135</v>
      </c>
      <c r="F90" s="40"/>
      <c r="G90" s="19">
        <v>3</v>
      </c>
      <c r="H90" s="19">
        <v>3</v>
      </c>
      <c r="I90" s="19">
        <v>3</v>
      </c>
      <c r="J90" s="19">
        <v>3</v>
      </c>
      <c r="K90" s="19">
        <v>3</v>
      </c>
      <c r="L90" s="19">
        <v>3</v>
      </c>
      <c r="M90" s="19">
        <v>3</v>
      </c>
      <c r="N90" s="19">
        <v>3</v>
      </c>
      <c r="O90" s="19">
        <v>3</v>
      </c>
      <c r="P90" s="19">
        <v>3</v>
      </c>
      <c r="Q90" s="19">
        <v>3</v>
      </c>
      <c r="R90" s="19">
        <v>3</v>
      </c>
      <c r="S90" s="19">
        <v>3</v>
      </c>
      <c r="T90" s="19">
        <v>3</v>
      </c>
      <c r="U90" s="19">
        <v>3</v>
      </c>
      <c r="V90" s="19">
        <v>3</v>
      </c>
      <c r="W90" s="19">
        <v>3</v>
      </c>
      <c r="X90" s="19">
        <v>3</v>
      </c>
      <c r="Y90" s="19">
        <v>3</v>
      </c>
      <c r="Z90" s="19">
        <v>3</v>
      </c>
      <c r="AA90" s="19">
        <v>3</v>
      </c>
      <c r="AB90" s="19">
        <v>3</v>
      </c>
      <c r="AC90" s="19">
        <v>3</v>
      </c>
      <c r="AD90" s="19">
        <v>3</v>
      </c>
      <c r="AE90" s="20">
        <v>0</v>
      </c>
      <c r="AF90" s="19">
        <v>0</v>
      </c>
      <c r="AG90" s="19">
        <v>0</v>
      </c>
      <c r="AH90" s="19">
        <v>0</v>
      </c>
    </row>
    <row r="91" spans="1:34" x14ac:dyDescent="0.3">
      <c r="A91" s="49"/>
      <c r="B91" s="46"/>
      <c r="C91" s="37" t="s">
        <v>178</v>
      </c>
      <c r="D91" s="37"/>
      <c r="E91" s="40" t="s">
        <v>136</v>
      </c>
      <c r="F91" s="40"/>
      <c r="G91" s="19">
        <v>4</v>
      </c>
      <c r="H91" s="19">
        <v>4</v>
      </c>
      <c r="I91" s="19">
        <v>4</v>
      </c>
      <c r="J91" s="19">
        <v>4</v>
      </c>
      <c r="K91" s="19">
        <v>4</v>
      </c>
      <c r="L91" s="19">
        <v>4</v>
      </c>
      <c r="M91" s="19">
        <v>4</v>
      </c>
      <c r="N91" s="19">
        <v>4</v>
      </c>
      <c r="O91" s="19">
        <v>4</v>
      </c>
      <c r="P91" s="19">
        <v>4</v>
      </c>
      <c r="Q91" s="19">
        <v>4</v>
      </c>
      <c r="R91" s="19">
        <v>4</v>
      </c>
      <c r="S91" s="19">
        <v>4</v>
      </c>
      <c r="T91" s="19">
        <v>4</v>
      </c>
      <c r="U91" s="19">
        <v>4</v>
      </c>
      <c r="V91" s="19">
        <v>4</v>
      </c>
      <c r="W91" s="19">
        <v>4</v>
      </c>
      <c r="X91" s="19">
        <v>4</v>
      </c>
      <c r="Y91" s="19">
        <v>4</v>
      </c>
      <c r="Z91" s="19">
        <v>4</v>
      </c>
      <c r="AA91" s="19">
        <v>4</v>
      </c>
      <c r="AB91" s="19">
        <v>4</v>
      </c>
      <c r="AC91" s="19">
        <v>4</v>
      </c>
      <c r="AD91" s="19">
        <v>4</v>
      </c>
      <c r="AE91" s="20">
        <v>0</v>
      </c>
      <c r="AF91" s="19">
        <v>0</v>
      </c>
      <c r="AG91" s="19">
        <v>0</v>
      </c>
      <c r="AH91" s="19">
        <v>0</v>
      </c>
    </row>
    <row r="92" spans="1:34" x14ac:dyDescent="0.3">
      <c r="A92" s="49"/>
      <c r="B92" s="46"/>
      <c r="C92" s="37" t="s">
        <v>181</v>
      </c>
      <c r="D92" s="37"/>
      <c r="E92" s="40" t="s">
        <v>132</v>
      </c>
      <c r="F92" s="40"/>
      <c r="G92" s="19">
        <v>3</v>
      </c>
      <c r="H92" s="19">
        <v>3</v>
      </c>
      <c r="I92" s="19">
        <v>3</v>
      </c>
      <c r="J92" s="19">
        <v>3</v>
      </c>
      <c r="K92" s="19">
        <v>3</v>
      </c>
      <c r="L92" s="19">
        <v>3</v>
      </c>
      <c r="M92" s="19">
        <v>3</v>
      </c>
      <c r="N92" s="19">
        <v>3</v>
      </c>
      <c r="O92" s="19">
        <v>3</v>
      </c>
      <c r="P92" s="19">
        <v>3</v>
      </c>
      <c r="Q92" s="19">
        <v>3</v>
      </c>
      <c r="R92" s="19">
        <v>3</v>
      </c>
      <c r="S92" s="19">
        <v>3</v>
      </c>
      <c r="T92" s="19">
        <v>3</v>
      </c>
      <c r="U92" s="19">
        <v>3</v>
      </c>
      <c r="V92" s="19">
        <v>3</v>
      </c>
      <c r="W92" s="19">
        <v>3</v>
      </c>
      <c r="X92" s="19">
        <v>3</v>
      </c>
      <c r="Y92" s="19">
        <v>3</v>
      </c>
      <c r="Z92" s="19">
        <v>3</v>
      </c>
      <c r="AA92" s="19">
        <v>3</v>
      </c>
      <c r="AB92" s="19">
        <v>3</v>
      </c>
      <c r="AC92" s="19">
        <v>3</v>
      </c>
      <c r="AD92" s="19">
        <v>3</v>
      </c>
      <c r="AE92" s="20">
        <v>0</v>
      </c>
      <c r="AF92" s="19">
        <v>0</v>
      </c>
      <c r="AG92" s="19">
        <v>0</v>
      </c>
      <c r="AH92" s="19">
        <v>0</v>
      </c>
    </row>
    <row r="93" spans="1:34" x14ac:dyDescent="0.3">
      <c r="A93" s="49"/>
      <c r="B93" s="46"/>
      <c r="C93" s="37" t="s">
        <v>113</v>
      </c>
      <c r="D93" s="37"/>
      <c r="E93" s="40" t="s">
        <v>134</v>
      </c>
      <c r="F93" s="40"/>
      <c r="G93" s="19">
        <v>3</v>
      </c>
      <c r="H93" s="19">
        <v>3</v>
      </c>
      <c r="I93" s="19">
        <v>3</v>
      </c>
      <c r="J93" s="19">
        <v>3</v>
      </c>
      <c r="K93" s="19">
        <v>3</v>
      </c>
      <c r="L93" s="19">
        <v>3</v>
      </c>
      <c r="M93" s="19">
        <v>3</v>
      </c>
      <c r="N93" s="19">
        <v>3</v>
      </c>
      <c r="O93" s="19">
        <v>3</v>
      </c>
      <c r="P93" s="19">
        <v>3</v>
      </c>
      <c r="Q93" s="19">
        <v>3</v>
      </c>
      <c r="R93" s="19">
        <v>3</v>
      </c>
      <c r="S93" s="19">
        <v>3</v>
      </c>
      <c r="T93" s="19">
        <v>3</v>
      </c>
      <c r="U93" s="19">
        <v>3</v>
      </c>
      <c r="V93" s="19">
        <v>3</v>
      </c>
      <c r="W93" s="19">
        <v>3</v>
      </c>
      <c r="X93" s="19">
        <v>3</v>
      </c>
      <c r="Y93" s="19">
        <v>3</v>
      </c>
      <c r="Z93" s="19">
        <v>3</v>
      </c>
      <c r="AA93" s="19">
        <v>3</v>
      </c>
      <c r="AB93" s="19">
        <v>3</v>
      </c>
      <c r="AC93" s="19">
        <v>3</v>
      </c>
      <c r="AD93" s="19">
        <v>3</v>
      </c>
      <c r="AE93" s="19">
        <v>3</v>
      </c>
      <c r="AF93" s="20">
        <v>0</v>
      </c>
      <c r="AG93" s="19">
        <v>0</v>
      </c>
      <c r="AH93" s="19">
        <v>0</v>
      </c>
    </row>
    <row r="94" spans="1:34" x14ac:dyDescent="0.3">
      <c r="A94" s="49"/>
      <c r="B94" s="46"/>
      <c r="C94" s="37" t="s">
        <v>114</v>
      </c>
      <c r="D94" s="37"/>
      <c r="E94" s="40" t="s">
        <v>135</v>
      </c>
      <c r="F94" s="40"/>
      <c r="G94" s="19">
        <v>3</v>
      </c>
      <c r="H94" s="19">
        <v>3</v>
      </c>
      <c r="I94" s="19">
        <v>3</v>
      </c>
      <c r="J94" s="19">
        <v>3</v>
      </c>
      <c r="K94" s="19">
        <v>3</v>
      </c>
      <c r="L94" s="19">
        <v>3</v>
      </c>
      <c r="M94" s="19">
        <v>3</v>
      </c>
      <c r="N94" s="19">
        <v>3</v>
      </c>
      <c r="O94" s="19">
        <v>3</v>
      </c>
      <c r="P94" s="19">
        <v>3</v>
      </c>
      <c r="Q94" s="19">
        <v>3</v>
      </c>
      <c r="R94" s="19">
        <v>3</v>
      </c>
      <c r="S94" s="19">
        <v>3</v>
      </c>
      <c r="T94" s="19">
        <v>3</v>
      </c>
      <c r="U94" s="19">
        <v>3</v>
      </c>
      <c r="V94" s="19">
        <v>3</v>
      </c>
      <c r="W94" s="19">
        <v>3</v>
      </c>
      <c r="X94" s="19">
        <v>3</v>
      </c>
      <c r="Y94" s="19">
        <v>3</v>
      </c>
      <c r="Z94" s="19">
        <v>3</v>
      </c>
      <c r="AA94" s="19">
        <v>3</v>
      </c>
      <c r="AB94" s="19">
        <v>3</v>
      </c>
      <c r="AC94" s="19">
        <v>3</v>
      </c>
      <c r="AD94" s="19">
        <v>3</v>
      </c>
      <c r="AE94" s="19">
        <v>3</v>
      </c>
      <c r="AF94" s="20">
        <v>0</v>
      </c>
      <c r="AG94" s="19">
        <v>0</v>
      </c>
      <c r="AH94" s="19">
        <v>0</v>
      </c>
    </row>
    <row r="95" spans="1:34" x14ac:dyDescent="0.3">
      <c r="A95" s="49"/>
      <c r="B95" s="46"/>
      <c r="C95" s="37" t="s">
        <v>115</v>
      </c>
      <c r="D95" s="37"/>
      <c r="E95" s="40" t="s">
        <v>136</v>
      </c>
      <c r="F95" s="40"/>
      <c r="G95" s="19">
        <v>4</v>
      </c>
      <c r="H95" s="19">
        <v>4</v>
      </c>
      <c r="I95" s="19">
        <v>4</v>
      </c>
      <c r="J95" s="19">
        <v>4</v>
      </c>
      <c r="K95" s="19">
        <v>4</v>
      </c>
      <c r="L95" s="19">
        <v>4</v>
      </c>
      <c r="M95" s="19">
        <v>4</v>
      </c>
      <c r="N95" s="19">
        <v>4</v>
      </c>
      <c r="O95" s="19">
        <v>4</v>
      </c>
      <c r="P95" s="19">
        <v>4</v>
      </c>
      <c r="Q95" s="19">
        <v>4</v>
      </c>
      <c r="R95" s="19">
        <v>4</v>
      </c>
      <c r="S95" s="19">
        <v>4</v>
      </c>
      <c r="T95" s="19">
        <v>4</v>
      </c>
      <c r="U95" s="19">
        <v>4</v>
      </c>
      <c r="V95" s="19">
        <v>4</v>
      </c>
      <c r="W95" s="19">
        <v>4</v>
      </c>
      <c r="X95" s="19">
        <v>4</v>
      </c>
      <c r="Y95" s="19">
        <v>4</v>
      </c>
      <c r="Z95" s="19">
        <v>4</v>
      </c>
      <c r="AA95" s="19">
        <v>4</v>
      </c>
      <c r="AB95" s="19">
        <v>4</v>
      </c>
      <c r="AC95" s="19">
        <v>4</v>
      </c>
      <c r="AD95" s="19">
        <v>4</v>
      </c>
      <c r="AE95" s="19">
        <v>4</v>
      </c>
      <c r="AF95" s="20">
        <v>0</v>
      </c>
      <c r="AG95" s="19">
        <v>0</v>
      </c>
      <c r="AH95" s="19">
        <v>0</v>
      </c>
    </row>
    <row r="96" spans="1:34" x14ac:dyDescent="0.3">
      <c r="A96" s="49"/>
      <c r="B96" s="46"/>
      <c r="C96" s="37" t="s">
        <v>116</v>
      </c>
      <c r="D96" s="37"/>
      <c r="E96" s="40" t="s">
        <v>132</v>
      </c>
      <c r="F96" s="40"/>
      <c r="G96" s="19">
        <v>4</v>
      </c>
      <c r="H96" s="19">
        <v>4</v>
      </c>
      <c r="I96" s="19">
        <v>4</v>
      </c>
      <c r="J96" s="19">
        <v>4</v>
      </c>
      <c r="K96" s="19">
        <v>4</v>
      </c>
      <c r="L96" s="19">
        <v>4</v>
      </c>
      <c r="M96" s="19">
        <v>4</v>
      </c>
      <c r="N96" s="19">
        <v>4</v>
      </c>
      <c r="O96" s="19">
        <v>4</v>
      </c>
      <c r="P96" s="19">
        <v>4</v>
      </c>
      <c r="Q96" s="19">
        <v>4</v>
      </c>
      <c r="R96" s="19">
        <v>4</v>
      </c>
      <c r="S96" s="19">
        <v>4</v>
      </c>
      <c r="T96" s="19">
        <v>4</v>
      </c>
      <c r="U96" s="19">
        <v>4</v>
      </c>
      <c r="V96" s="19">
        <v>4</v>
      </c>
      <c r="W96" s="19">
        <v>4</v>
      </c>
      <c r="X96" s="19">
        <v>4</v>
      </c>
      <c r="Y96" s="19">
        <v>4</v>
      </c>
      <c r="Z96" s="19">
        <v>4</v>
      </c>
      <c r="AA96" s="19">
        <v>4</v>
      </c>
      <c r="AB96" s="19">
        <v>4</v>
      </c>
      <c r="AC96" s="19">
        <v>4</v>
      </c>
      <c r="AD96" s="19">
        <v>4</v>
      </c>
      <c r="AE96" s="19">
        <v>4</v>
      </c>
      <c r="AF96" s="20">
        <v>0</v>
      </c>
      <c r="AG96" s="19">
        <v>0</v>
      </c>
      <c r="AH96" s="19">
        <v>0</v>
      </c>
    </row>
    <row r="97" spans="1:34" x14ac:dyDescent="0.3">
      <c r="A97" s="49"/>
      <c r="B97" s="46"/>
      <c r="C97" s="37" t="s">
        <v>117</v>
      </c>
      <c r="D97" s="37"/>
      <c r="E97" s="40" t="s">
        <v>132</v>
      </c>
      <c r="F97" s="40"/>
      <c r="G97" s="19">
        <v>6</v>
      </c>
      <c r="H97" s="19">
        <v>4</v>
      </c>
      <c r="I97" s="19">
        <v>4</v>
      </c>
      <c r="J97" s="19">
        <v>4</v>
      </c>
      <c r="K97" s="19">
        <v>4</v>
      </c>
      <c r="L97" s="19">
        <v>4</v>
      </c>
      <c r="M97" s="19">
        <v>4</v>
      </c>
      <c r="N97" s="19">
        <v>4</v>
      </c>
      <c r="O97" s="19">
        <v>4</v>
      </c>
      <c r="P97" s="19">
        <v>4</v>
      </c>
      <c r="Q97" s="19">
        <v>4</v>
      </c>
      <c r="R97" s="19">
        <v>4</v>
      </c>
      <c r="S97" s="19">
        <v>4</v>
      </c>
      <c r="T97" s="19">
        <v>4</v>
      </c>
      <c r="U97" s="19">
        <v>4</v>
      </c>
      <c r="V97" s="19">
        <v>4</v>
      </c>
      <c r="W97" s="19">
        <v>4</v>
      </c>
      <c r="X97" s="19">
        <v>4</v>
      </c>
      <c r="Y97" s="19">
        <v>4</v>
      </c>
      <c r="Z97" s="19">
        <v>4</v>
      </c>
      <c r="AA97" s="19">
        <v>4</v>
      </c>
      <c r="AB97" s="19">
        <v>4</v>
      </c>
      <c r="AC97" s="19">
        <v>4</v>
      </c>
      <c r="AD97" s="19">
        <v>4</v>
      </c>
      <c r="AE97" s="19">
        <v>4</v>
      </c>
      <c r="AF97" s="20">
        <v>0</v>
      </c>
      <c r="AG97" s="19">
        <v>0</v>
      </c>
      <c r="AH97" s="19">
        <v>0</v>
      </c>
    </row>
    <row r="98" spans="1:34" x14ac:dyDescent="0.3">
      <c r="A98" s="49"/>
      <c r="B98" s="46"/>
      <c r="C98" s="38"/>
      <c r="D98" s="39"/>
      <c r="E98" s="38"/>
      <c r="F98" s="41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12">
        <v>2</v>
      </c>
      <c r="AG98" s="34"/>
      <c r="AH98" s="34"/>
    </row>
    <row r="99" spans="1:34" x14ac:dyDescent="0.3">
      <c r="A99" s="49"/>
      <c r="B99" s="47"/>
      <c r="C99" s="37" t="s">
        <v>118</v>
      </c>
      <c r="D99" s="37"/>
      <c r="E99" s="40" t="s">
        <v>133</v>
      </c>
      <c r="F99" s="40"/>
      <c r="G99" s="19">
        <v>3</v>
      </c>
      <c r="H99" s="19">
        <v>3</v>
      </c>
      <c r="I99" s="19">
        <v>3</v>
      </c>
      <c r="J99" s="19">
        <v>3</v>
      </c>
      <c r="K99" s="19">
        <v>3</v>
      </c>
      <c r="L99" s="19">
        <v>3</v>
      </c>
      <c r="M99" s="19">
        <v>3</v>
      </c>
      <c r="N99" s="19">
        <v>3</v>
      </c>
      <c r="O99" s="19">
        <v>3</v>
      </c>
      <c r="P99" s="19">
        <v>3</v>
      </c>
      <c r="Q99" s="19">
        <v>3</v>
      </c>
      <c r="R99" s="19">
        <v>3</v>
      </c>
      <c r="S99" s="19">
        <v>3</v>
      </c>
      <c r="T99" s="19">
        <v>3</v>
      </c>
      <c r="U99" s="19">
        <v>3</v>
      </c>
      <c r="V99" s="19">
        <v>3</v>
      </c>
      <c r="W99" s="19">
        <v>3</v>
      </c>
      <c r="X99" s="19">
        <v>3</v>
      </c>
      <c r="Y99" s="19">
        <v>3</v>
      </c>
      <c r="Z99" s="19">
        <v>3</v>
      </c>
      <c r="AA99" s="19">
        <v>3</v>
      </c>
      <c r="AB99" s="19">
        <v>3</v>
      </c>
      <c r="AC99" s="19">
        <v>3</v>
      </c>
      <c r="AD99" s="19">
        <v>3</v>
      </c>
      <c r="AE99" s="19">
        <v>3</v>
      </c>
      <c r="AF99" s="20">
        <v>0</v>
      </c>
      <c r="AG99" s="19">
        <v>0</v>
      </c>
      <c r="AH99" s="19">
        <v>0</v>
      </c>
    </row>
    <row r="100" spans="1:34" x14ac:dyDescent="0.3">
      <c r="A100" s="49"/>
      <c r="B100" s="57" t="s">
        <v>42</v>
      </c>
      <c r="C100" s="43" t="s">
        <v>43</v>
      </c>
      <c r="D100" s="44"/>
      <c r="E100" s="40" t="s">
        <v>130</v>
      </c>
      <c r="F100" s="40"/>
      <c r="G100" s="19">
        <v>1</v>
      </c>
      <c r="H100" s="19">
        <v>1</v>
      </c>
      <c r="I100" s="19">
        <v>1</v>
      </c>
      <c r="J100" s="19">
        <v>1</v>
      </c>
      <c r="K100" s="19">
        <v>1</v>
      </c>
      <c r="L100" s="19">
        <v>1</v>
      </c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  <c r="S100" s="19">
        <v>1</v>
      </c>
      <c r="T100" s="19">
        <v>1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>
        <v>1</v>
      </c>
      <c r="AA100" s="19">
        <v>1</v>
      </c>
      <c r="AB100" s="19">
        <v>1</v>
      </c>
      <c r="AC100" s="19">
        <v>1</v>
      </c>
      <c r="AD100" s="19">
        <v>1</v>
      </c>
      <c r="AE100" s="19">
        <v>1</v>
      </c>
      <c r="AF100" s="19">
        <v>1</v>
      </c>
      <c r="AG100" s="20">
        <v>0</v>
      </c>
      <c r="AH100" s="19">
        <v>0</v>
      </c>
    </row>
    <row r="101" spans="1:34" x14ac:dyDescent="0.3">
      <c r="A101" s="49"/>
      <c r="B101" s="58"/>
      <c r="C101" s="37" t="s">
        <v>34</v>
      </c>
      <c r="D101" s="37"/>
      <c r="E101" s="40" t="s">
        <v>129</v>
      </c>
      <c r="F101" s="40"/>
      <c r="G101" s="19">
        <v>1</v>
      </c>
      <c r="H101" s="19">
        <v>1</v>
      </c>
      <c r="I101" s="19">
        <v>1</v>
      </c>
      <c r="J101" s="19">
        <v>1</v>
      </c>
      <c r="K101" s="19">
        <v>1</v>
      </c>
      <c r="L101" s="19">
        <v>1</v>
      </c>
      <c r="M101" s="19">
        <v>1</v>
      </c>
      <c r="N101" s="19">
        <v>1</v>
      </c>
      <c r="O101" s="19">
        <v>1</v>
      </c>
      <c r="P101" s="19">
        <v>1</v>
      </c>
      <c r="Q101" s="19">
        <v>1</v>
      </c>
      <c r="R101" s="19">
        <v>1</v>
      </c>
      <c r="S101" s="19">
        <v>1</v>
      </c>
      <c r="T101" s="19">
        <v>1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>
        <v>1</v>
      </c>
      <c r="AA101" s="19">
        <v>1</v>
      </c>
      <c r="AB101" s="19">
        <v>1</v>
      </c>
      <c r="AC101" s="19">
        <v>1</v>
      </c>
      <c r="AD101" s="19">
        <v>1</v>
      </c>
      <c r="AE101" s="19">
        <v>1</v>
      </c>
      <c r="AF101" s="19">
        <v>1</v>
      </c>
      <c r="AG101" s="20">
        <v>0</v>
      </c>
      <c r="AH101" s="19">
        <v>0</v>
      </c>
    </row>
    <row r="102" spans="1:34" x14ac:dyDescent="0.3">
      <c r="A102" s="49"/>
      <c r="B102" s="58"/>
      <c r="C102" s="37" t="s">
        <v>35</v>
      </c>
      <c r="D102" s="37"/>
      <c r="E102" s="40" t="s">
        <v>131</v>
      </c>
      <c r="F102" s="40"/>
      <c r="G102" s="19">
        <v>2</v>
      </c>
      <c r="H102" s="19">
        <v>2</v>
      </c>
      <c r="I102" s="19">
        <v>2</v>
      </c>
      <c r="J102" s="19">
        <v>2</v>
      </c>
      <c r="K102" s="19">
        <v>2</v>
      </c>
      <c r="L102" s="19">
        <v>2</v>
      </c>
      <c r="M102" s="19">
        <v>2</v>
      </c>
      <c r="N102" s="19">
        <v>2</v>
      </c>
      <c r="O102" s="19">
        <v>2</v>
      </c>
      <c r="P102" s="19">
        <v>2</v>
      </c>
      <c r="Q102" s="19">
        <v>2</v>
      </c>
      <c r="R102" s="19">
        <v>2</v>
      </c>
      <c r="S102" s="19">
        <v>2</v>
      </c>
      <c r="T102" s="19">
        <v>2</v>
      </c>
      <c r="U102" s="19">
        <v>2</v>
      </c>
      <c r="V102" s="19">
        <v>2</v>
      </c>
      <c r="W102" s="19">
        <v>2</v>
      </c>
      <c r="X102" s="19">
        <v>2</v>
      </c>
      <c r="Y102" s="19">
        <v>2</v>
      </c>
      <c r="Z102" s="19">
        <v>2</v>
      </c>
      <c r="AA102" s="19">
        <v>2</v>
      </c>
      <c r="AB102" s="19">
        <v>2</v>
      </c>
      <c r="AC102" s="19">
        <v>2</v>
      </c>
      <c r="AD102" s="19">
        <v>2</v>
      </c>
      <c r="AE102" s="19">
        <v>2</v>
      </c>
      <c r="AF102" s="19">
        <v>2</v>
      </c>
      <c r="AG102" s="20">
        <v>0</v>
      </c>
      <c r="AH102" s="19">
        <v>0</v>
      </c>
    </row>
    <row r="103" spans="1:34" x14ac:dyDescent="0.3">
      <c r="A103" s="49"/>
      <c r="B103" s="58"/>
      <c r="C103" s="37" t="s">
        <v>186</v>
      </c>
      <c r="D103" s="37"/>
      <c r="E103" s="40" t="s">
        <v>128</v>
      </c>
      <c r="F103" s="40"/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>
        <v>1</v>
      </c>
      <c r="M103" s="19">
        <v>1</v>
      </c>
      <c r="N103" s="19">
        <v>1</v>
      </c>
      <c r="O103" s="19">
        <v>1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  <c r="AF103" s="19">
        <v>1</v>
      </c>
      <c r="AG103" s="20">
        <v>0</v>
      </c>
      <c r="AH103" s="19">
        <v>0</v>
      </c>
    </row>
    <row r="104" spans="1:34" x14ac:dyDescent="0.3">
      <c r="A104" s="49"/>
      <c r="B104" s="58"/>
      <c r="C104" s="37" t="s">
        <v>189</v>
      </c>
      <c r="D104" s="37"/>
      <c r="E104" s="40" t="s">
        <v>130</v>
      </c>
      <c r="F104" s="40"/>
      <c r="G104" s="19">
        <v>2</v>
      </c>
      <c r="H104" s="19">
        <v>2</v>
      </c>
      <c r="I104" s="19">
        <v>2</v>
      </c>
      <c r="J104" s="19">
        <v>2</v>
      </c>
      <c r="K104" s="19">
        <v>2</v>
      </c>
      <c r="L104" s="19">
        <v>2</v>
      </c>
      <c r="M104" s="19">
        <v>2</v>
      </c>
      <c r="N104" s="19">
        <v>2</v>
      </c>
      <c r="O104" s="19">
        <v>2</v>
      </c>
      <c r="P104" s="19">
        <v>2</v>
      </c>
      <c r="Q104" s="19">
        <v>2</v>
      </c>
      <c r="R104" s="19">
        <v>2</v>
      </c>
      <c r="S104" s="19">
        <v>2</v>
      </c>
      <c r="T104" s="19">
        <v>2</v>
      </c>
      <c r="U104" s="19">
        <v>2</v>
      </c>
      <c r="V104" s="19">
        <v>2</v>
      </c>
      <c r="W104" s="19">
        <v>2</v>
      </c>
      <c r="X104" s="19">
        <v>2</v>
      </c>
      <c r="Y104" s="19">
        <v>2</v>
      </c>
      <c r="Z104" s="19">
        <v>2</v>
      </c>
      <c r="AA104" s="19">
        <v>2</v>
      </c>
      <c r="AB104" s="19">
        <v>2</v>
      </c>
      <c r="AC104" s="19">
        <v>2</v>
      </c>
      <c r="AD104" s="19">
        <v>2</v>
      </c>
      <c r="AE104" s="19">
        <v>2</v>
      </c>
      <c r="AF104" s="19">
        <v>2</v>
      </c>
      <c r="AG104" s="20">
        <v>0</v>
      </c>
      <c r="AH104" s="19">
        <v>0</v>
      </c>
    </row>
    <row r="105" spans="1:34" x14ac:dyDescent="0.3">
      <c r="A105" s="49"/>
      <c r="B105" s="58"/>
      <c r="C105" s="37" t="s">
        <v>120</v>
      </c>
      <c r="D105" s="37"/>
      <c r="E105" s="40" t="s">
        <v>129</v>
      </c>
      <c r="F105" s="40"/>
      <c r="G105" s="19">
        <v>2</v>
      </c>
      <c r="H105" s="19">
        <v>2</v>
      </c>
      <c r="I105" s="19">
        <v>2</v>
      </c>
      <c r="J105" s="19">
        <v>2</v>
      </c>
      <c r="K105" s="19">
        <v>2</v>
      </c>
      <c r="L105" s="19">
        <v>2</v>
      </c>
      <c r="M105" s="19">
        <v>2</v>
      </c>
      <c r="N105" s="19">
        <v>2</v>
      </c>
      <c r="O105" s="19">
        <v>2</v>
      </c>
      <c r="P105" s="19">
        <v>2</v>
      </c>
      <c r="Q105" s="19">
        <v>2</v>
      </c>
      <c r="R105" s="19">
        <v>2</v>
      </c>
      <c r="S105" s="19">
        <v>2</v>
      </c>
      <c r="T105" s="19">
        <v>2</v>
      </c>
      <c r="U105" s="19">
        <v>2</v>
      </c>
      <c r="V105" s="19">
        <v>2</v>
      </c>
      <c r="W105" s="19">
        <v>2</v>
      </c>
      <c r="X105" s="19">
        <v>2</v>
      </c>
      <c r="Y105" s="19">
        <v>2</v>
      </c>
      <c r="Z105" s="19">
        <v>2</v>
      </c>
      <c r="AA105" s="19">
        <v>2</v>
      </c>
      <c r="AB105" s="19">
        <v>2</v>
      </c>
      <c r="AC105" s="19">
        <v>2</v>
      </c>
      <c r="AD105" s="19">
        <v>2</v>
      </c>
      <c r="AE105" s="19">
        <v>2</v>
      </c>
      <c r="AF105" s="19">
        <v>2</v>
      </c>
      <c r="AG105" s="20">
        <v>0</v>
      </c>
      <c r="AH105" s="19">
        <v>0</v>
      </c>
    </row>
    <row r="106" spans="1:34" x14ac:dyDescent="0.3">
      <c r="A106" s="49"/>
      <c r="B106" s="58"/>
      <c r="C106" s="37" t="s">
        <v>121</v>
      </c>
      <c r="D106" s="37"/>
      <c r="E106" s="40" t="s">
        <v>131</v>
      </c>
      <c r="F106" s="40"/>
      <c r="G106" s="19">
        <v>2</v>
      </c>
      <c r="H106" s="19">
        <v>2</v>
      </c>
      <c r="I106" s="19">
        <v>2</v>
      </c>
      <c r="J106" s="19">
        <v>2</v>
      </c>
      <c r="K106" s="19">
        <v>2</v>
      </c>
      <c r="L106" s="19">
        <v>2</v>
      </c>
      <c r="M106" s="19">
        <v>2</v>
      </c>
      <c r="N106" s="19">
        <v>2</v>
      </c>
      <c r="O106" s="19">
        <v>2</v>
      </c>
      <c r="P106" s="19">
        <v>2</v>
      </c>
      <c r="Q106" s="19">
        <v>2</v>
      </c>
      <c r="R106" s="19">
        <v>2</v>
      </c>
      <c r="S106" s="19">
        <v>2</v>
      </c>
      <c r="T106" s="19">
        <v>2</v>
      </c>
      <c r="U106" s="19">
        <v>2</v>
      </c>
      <c r="V106" s="19">
        <v>2</v>
      </c>
      <c r="W106" s="19">
        <v>2</v>
      </c>
      <c r="X106" s="19">
        <v>2</v>
      </c>
      <c r="Y106" s="19">
        <v>2</v>
      </c>
      <c r="Z106" s="19">
        <v>2</v>
      </c>
      <c r="AA106" s="19">
        <v>2</v>
      </c>
      <c r="AB106" s="19">
        <v>2</v>
      </c>
      <c r="AC106" s="19">
        <v>2</v>
      </c>
      <c r="AD106" s="19">
        <v>2</v>
      </c>
      <c r="AE106" s="19">
        <v>2</v>
      </c>
      <c r="AF106" s="19">
        <v>2</v>
      </c>
      <c r="AG106" s="20">
        <v>0</v>
      </c>
      <c r="AH106" s="19">
        <v>0</v>
      </c>
    </row>
    <row r="107" spans="1:34" x14ac:dyDescent="0.3">
      <c r="A107" s="49"/>
      <c r="B107" s="58"/>
      <c r="C107" s="37" t="s">
        <v>122</v>
      </c>
      <c r="D107" s="37"/>
      <c r="E107" s="40" t="s">
        <v>128</v>
      </c>
      <c r="F107" s="40"/>
      <c r="G107" s="19">
        <v>2</v>
      </c>
      <c r="H107" s="19">
        <v>2</v>
      </c>
      <c r="I107" s="19">
        <v>2</v>
      </c>
      <c r="J107" s="19">
        <v>2</v>
      </c>
      <c r="K107" s="19">
        <v>2</v>
      </c>
      <c r="L107" s="19">
        <v>2</v>
      </c>
      <c r="M107" s="19">
        <v>2</v>
      </c>
      <c r="N107" s="19">
        <v>2</v>
      </c>
      <c r="O107" s="19">
        <v>2</v>
      </c>
      <c r="P107" s="19">
        <v>2</v>
      </c>
      <c r="Q107" s="19">
        <v>2</v>
      </c>
      <c r="R107" s="19">
        <v>2</v>
      </c>
      <c r="S107" s="19">
        <v>2</v>
      </c>
      <c r="T107" s="19">
        <v>2</v>
      </c>
      <c r="U107" s="19">
        <v>2</v>
      </c>
      <c r="V107" s="19">
        <v>2</v>
      </c>
      <c r="W107" s="19">
        <v>2</v>
      </c>
      <c r="X107" s="19">
        <v>2</v>
      </c>
      <c r="Y107" s="19">
        <v>2</v>
      </c>
      <c r="Z107" s="19">
        <v>2</v>
      </c>
      <c r="AA107" s="19">
        <v>2</v>
      </c>
      <c r="AB107" s="19">
        <v>2</v>
      </c>
      <c r="AC107" s="19">
        <v>2</v>
      </c>
      <c r="AD107" s="19">
        <v>2</v>
      </c>
      <c r="AE107" s="19">
        <v>2</v>
      </c>
      <c r="AF107" s="19">
        <v>2</v>
      </c>
      <c r="AG107" s="20">
        <v>0</v>
      </c>
      <c r="AH107" s="19">
        <v>0</v>
      </c>
    </row>
    <row r="108" spans="1:34" x14ac:dyDescent="0.3">
      <c r="A108" s="49"/>
      <c r="B108" s="58"/>
      <c r="C108" s="37" t="s">
        <v>123</v>
      </c>
      <c r="D108" s="37"/>
      <c r="E108" s="40" t="s">
        <v>130</v>
      </c>
      <c r="F108" s="40"/>
      <c r="G108" s="19">
        <v>2</v>
      </c>
      <c r="H108" s="19">
        <v>2</v>
      </c>
      <c r="I108" s="19">
        <v>2</v>
      </c>
      <c r="J108" s="19">
        <v>2</v>
      </c>
      <c r="K108" s="19">
        <v>2</v>
      </c>
      <c r="L108" s="19">
        <v>2</v>
      </c>
      <c r="M108" s="19">
        <v>2</v>
      </c>
      <c r="N108" s="19">
        <v>2</v>
      </c>
      <c r="O108" s="19">
        <v>2</v>
      </c>
      <c r="P108" s="19">
        <v>2</v>
      </c>
      <c r="Q108" s="19">
        <v>2</v>
      </c>
      <c r="R108" s="19">
        <v>2</v>
      </c>
      <c r="S108" s="19">
        <v>2</v>
      </c>
      <c r="T108" s="19">
        <v>2</v>
      </c>
      <c r="U108" s="19">
        <v>2</v>
      </c>
      <c r="V108" s="19">
        <v>2</v>
      </c>
      <c r="W108" s="19">
        <v>2</v>
      </c>
      <c r="X108" s="19">
        <v>2</v>
      </c>
      <c r="Y108" s="19">
        <v>2</v>
      </c>
      <c r="Z108" s="19">
        <v>2</v>
      </c>
      <c r="AA108" s="19">
        <v>2</v>
      </c>
      <c r="AB108" s="19">
        <v>2</v>
      </c>
      <c r="AC108" s="19">
        <v>2</v>
      </c>
      <c r="AD108" s="19">
        <v>2</v>
      </c>
      <c r="AE108" s="19">
        <v>2</v>
      </c>
      <c r="AF108" s="19">
        <v>2</v>
      </c>
      <c r="AG108" s="20">
        <v>0</v>
      </c>
      <c r="AH108" s="19">
        <v>0</v>
      </c>
    </row>
    <row r="109" spans="1:34" x14ac:dyDescent="0.3">
      <c r="A109" s="49"/>
      <c r="B109" s="58"/>
      <c r="C109" s="37" t="s">
        <v>124</v>
      </c>
      <c r="D109" s="37"/>
      <c r="E109" s="40" t="s">
        <v>130</v>
      </c>
      <c r="F109" s="40"/>
      <c r="G109" s="19">
        <v>2</v>
      </c>
      <c r="H109" s="19">
        <v>2</v>
      </c>
      <c r="I109" s="19">
        <v>2</v>
      </c>
      <c r="J109" s="19">
        <v>2</v>
      </c>
      <c r="K109" s="19">
        <v>2</v>
      </c>
      <c r="L109" s="19">
        <v>2</v>
      </c>
      <c r="M109" s="19">
        <v>2</v>
      </c>
      <c r="N109" s="19">
        <v>2</v>
      </c>
      <c r="O109" s="19">
        <v>2</v>
      </c>
      <c r="P109" s="19">
        <v>2</v>
      </c>
      <c r="Q109" s="19">
        <v>2</v>
      </c>
      <c r="R109" s="19">
        <v>2</v>
      </c>
      <c r="S109" s="19">
        <v>2</v>
      </c>
      <c r="T109" s="19">
        <v>2</v>
      </c>
      <c r="U109" s="19">
        <v>2</v>
      </c>
      <c r="V109" s="19">
        <v>2</v>
      </c>
      <c r="W109" s="19">
        <v>2</v>
      </c>
      <c r="X109" s="19">
        <v>2</v>
      </c>
      <c r="Y109" s="19">
        <v>2</v>
      </c>
      <c r="Z109" s="19">
        <v>2</v>
      </c>
      <c r="AA109" s="19">
        <v>2</v>
      </c>
      <c r="AB109" s="19">
        <v>2</v>
      </c>
      <c r="AC109" s="19">
        <v>2</v>
      </c>
      <c r="AD109" s="19">
        <v>2</v>
      </c>
      <c r="AE109" s="19">
        <v>2</v>
      </c>
      <c r="AF109" s="19">
        <v>2</v>
      </c>
      <c r="AG109" s="20">
        <v>0</v>
      </c>
      <c r="AH109" s="19">
        <v>0</v>
      </c>
    </row>
    <row r="110" spans="1:34" x14ac:dyDescent="0.3">
      <c r="A110" s="49"/>
      <c r="B110" s="59"/>
      <c r="C110" s="37" t="s">
        <v>125</v>
      </c>
      <c r="D110" s="37"/>
      <c r="E110" s="40" t="s">
        <v>129</v>
      </c>
      <c r="F110" s="40"/>
      <c r="G110" s="19">
        <v>1</v>
      </c>
      <c r="H110" s="19">
        <v>1</v>
      </c>
      <c r="I110" s="19">
        <v>1</v>
      </c>
      <c r="J110" s="19">
        <v>1</v>
      </c>
      <c r="K110" s="19">
        <v>1</v>
      </c>
      <c r="L110" s="19">
        <v>1</v>
      </c>
      <c r="M110" s="19">
        <v>1</v>
      </c>
      <c r="N110" s="19">
        <v>1</v>
      </c>
      <c r="O110" s="19">
        <v>1</v>
      </c>
      <c r="P110" s="19">
        <v>1</v>
      </c>
      <c r="Q110" s="19">
        <v>1</v>
      </c>
      <c r="R110" s="19">
        <v>1</v>
      </c>
      <c r="S110" s="19">
        <v>1</v>
      </c>
      <c r="T110" s="19">
        <v>1</v>
      </c>
      <c r="U110" s="19">
        <v>1</v>
      </c>
      <c r="V110" s="19">
        <v>1</v>
      </c>
      <c r="W110" s="19">
        <v>1</v>
      </c>
      <c r="X110" s="19">
        <v>1</v>
      </c>
      <c r="Y110" s="19">
        <v>1</v>
      </c>
      <c r="Z110" s="19">
        <v>1</v>
      </c>
      <c r="AA110" s="19">
        <v>1</v>
      </c>
      <c r="AB110" s="19">
        <v>1</v>
      </c>
      <c r="AC110" s="19">
        <v>1</v>
      </c>
      <c r="AD110" s="19">
        <v>1</v>
      </c>
      <c r="AE110" s="19">
        <v>1</v>
      </c>
      <c r="AF110" s="19">
        <v>1</v>
      </c>
      <c r="AG110" s="20">
        <v>0</v>
      </c>
      <c r="AH110" s="19">
        <v>0</v>
      </c>
    </row>
    <row r="111" spans="1:34" x14ac:dyDescent="0.3">
      <c r="A111" s="49"/>
      <c r="B111" s="56" t="s">
        <v>38</v>
      </c>
      <c r="C111" s="37" t="s">
        <v>36</v>
      </c>
      <c r="D111" s="37"/>
      <c r="E111" s="40" t="s">
        <v>54</v>
      </c>
      <c r="F111" s="40"/>
      <c r="G111" s="19">
        <v>5</v>
      </c>
      <c r="H111" s="19">
        <v>5</v>
      </c>
      <c r="I111" s="19">
        <v>5</v>
      </c>
      <c r="J111" s="19">
        <v>5</v>
      </c>
      <c r="K111" s="19">
        <v>5</v>
      </c>
      <c r="L111" s="19">
        <v>5</v>
      </c>
      <c r="M111" s="19">
        <v>5</v>
      </c>
      <c r="N111" s="19">
        <v>5</v>
      </c>
      <c r="O111" s="19">
        <v>5</v>
      </c>
      <c r="P111" s="19">
        <v>5</v>
      </c>
      <c r="Q111" s="19">
        <v>5</v>
      </c>
      <c r="R111" s="19">
        <v>5</v>
      </c>
      <c r="S111" s="19">
        <v>5</v>
      </c>
      <c r="T111" s="19">
        <v>5</v>
      </c>
      <c r="U111" s="19">
        <v>5</v>
      </c>
      <c r="V111" s="19">
        <v>5</v>
      </c>
      <c r="W111" s="19">
        <v>5</v>
      </c>
      <c r="X111" s="19">
        <v>5</v>
      </c>
      <c r="Y111" s="19">
        <v>5</v>
      </c>
      <c r="Z111" s="19">
        <v>5</v>
      </c>
      <c r="AA111" s="19">
        <v>5</v>
      </c>
      <c r="AB111" s="19">
        <v>5</v>
      </c>
      <c r="AC111" s="19">
        <v>5</v>
      </c>
      <c r="AD111" s="19">
        <v>5</v>
      </c>
      <c r="AE111" s="19">
        <v>5</v>
      </c>
      <c r="AF111" s="19">
        <v>5</v>
      </c>
      <c r="AG111" s="19">
        <v>5</v>
      </c>
      <c r="AH111" s="20">
        <v>0</v>
      </c>
    </row>
    <row r="112" spans="1:34" x14ac:dyDescent="0.3">
      <c r="A112" s="49"/>
      <c r="B112" s="56"/>
      <c r="C112" s="37" t="s">
        <v>37</v>
      </c>
      <c r="D112" s="37"/>
      <c r="E112" s="40" t="s">
        <v>54</v>
      </c>
      <c r="F112" s="40"/>
      <c r="G112" s="19">
        <v>5</v>
      </c>
      <c r="H112" s="19">
        <v>5</v>
      </c>
      <c r="I112" s="19">
        <v>5</v>
      </c>
      <c r="J112" s="19">
        <v>5</v>
      </c>
      <c r="K112" s="19">
        <v>5</v>
      </c>
      <c r="L112" s="19">
        <v>5</v>
      </c>
      <c r="M112" s="19">
        <v>5</v>
      </c>
      <c r="N112" s="19">
        <v>5</v>
      </c>
      <c r="O112" s="19">
        <v>5</v>
      </c>
      <c r="P112" s="19">
        <v>5</v>
      </c>
      <c r="Q112" s="19">
        <v>5</v>
      </c>
      <c r="R112" s="19">
        <v>5</v>
      </c>
      <c r="S112" s="19">
        <v>5</v>
      </c>
      <c r="T112" s="19">
        <v>5</v>
      </c>
      <c r="U112" s="19">
        <v>5</v>
      </c>
      <c r="V112" s="19">
        <v>5</v>
      </c>
      <c r="W112" s="19">
        <v>5</v>
      </c>
      <c r="X112" s="19">
        <v>5</v>
      </c>
      <c r="Y112" s="19">
        <v>5</v>
      </c>
      <c r="Z112" s="19">
        <v>5</v>
      </c>
      <c r="AA112" s="19">
        <v>5</v>
      </c>
      <c r="AB112" s="19">
        <v>5</v>
      </c>
      <c r="AC112" s="19">
        <v>5</v>
      </c>
      <c r="AD112" s="19">
        <v>5</v>
      </c>
      <c r="AE112" s="19">
        <v>5</v>
      </c>
      <c r="AF112" s="19">
        <v>5</v>
      </c>
      <c r="AG112" s="19">
        <v>5</v>
      </c>
      <c r="AH112" s="20">
        <v>0</v>
      </c>
    </row>
    <row r="113" spans="1:34" x14ac:dyDescent="0.3">
      <c r="A113" s="49"/>
      <c r="B113" s="55" t="s">
        <v>12</v>
      </c>
      <c r="C113" s="55"/>
      <c r="D113" s="55"/>
      <c r="E113" s="54" t="s">
        <v>11</v>
      </c>
      <c r="F113" s="54"/>
      <c r="G113" s="40">
        <f>SUM(G16:G112)</f>
        <v>229.5</v>
      </c>
      <c r="H113" s="40"/>
      <c r="I113" s="19">
        <f>SUM(I16:I17)+SUM(I19:I112)-I18</f>
        <v>212</v>
      </c>
      <c r="J113" s="19">
        <f>SUM(J16:J30)+SUM(J32)+SUM(J34:J112)-J33+J31</f>
        <v>182.5</v>
      </c>
      <c r="K113" s="19">
        <f>SUM(K16:K38)+SUM(K40:K112)+K39</f>
        <v>172.5</v>
      </c>
      <c r="L113" s="19">
        <f>SUM(L16:L46)+SUM(L48:L112)-L47</f>
        <v>156</v>
      </c>
      <c r="M113" s="19">
        <f>SUM(M16:M112)</f>
        <v>154</v>
      </c>
      <c r="N113" s="19">
        <f>SUM(N16:N51)+SUM(N53:N112)-N52</f>
        <v>149</v>
      </c>
      <c r="O113" s="19">
        <f>SUM(O16:O112)-O27</f>
        <v>145</v>
      </c>
      <c r="P113" s="19">
        <f>SUM(P16:P112)</f>
        <v>145</v>
      </c>
      <c r="Q113" s="19">
        <f>SUM(Q16:Q112)</f>
        <v>139</v>
      </c>
      <c r="R113" s="19">
        <f>SUM(R16:R112)-R43</f>
        <v>139</v>
      </c>
      <c r="S113" s="19">
        <f>SUM(S59:S112)+SUM(S16:S57)+S58</f>
        <v>134</v>
      </c>
      <c r="T113" s="19">
        <f>SUM(T16:T112)</f>
        <v>133</v>
      </c>
      <c r="U113" s="19">
        <f>SUM(U16:U112)-U56</f>
        <v>127</v>
      </c>
      <c r="V113" s="19">
        <f>SUM(V16:V112)</f>
        <v>127</v>
      </c>
      <c r="W113" s="19">
        <f>SUM(W16:W112)</f>
        <v>123</v>
      </c>
      <c r="X113" s="19">
        <f>SUM(X16:X112)</f>
        <v>123</v>
      </c>
      <c r="Y113" s="19">
        <f>SUM(Y66:Y112)+SUM(Y16:Y64)+Y65</f>
        <v>114</v>
      </c>
      <c r="Z113" s="19">
        <f>SUM(Z16:Z112)</f>
        <v>109</v>
      </c>
      <c r="AA113" s="19">
        <f>SUM(AA16:AA69)+SUM(AA71:AA112)+AA70</f>
        <v>108</v>
      </c>
      <c r="AB113" s="19">
        <f>SUM(AB16:AB112)</f>
        <v>98.5</v>
      </c>
      <c r="AC113" s="19">
        <f>SUM(AC16:AC75)+SUM(AC77:AC112)-AC76</f>
        <v>84.5</v>
      </c>
      <c r="AD113" s="19">
        <f>SUM(AD16:AD84)+SUM(AD86:AD112)+AD85</f>
        <v>65</v>
      </c>
      <c r="AE113" s="19">
        <f>SUM(AE16:AE112)</f>
        <v>49</v>
      </c>
      <c r="AF113" s="19">
        <f>SUM(AF16:AF97)+SUM(AF99:AF112)+AF98</f>
        <v>30</v>
      </c>
      <c r="AG113" s="19">
        <f>SUM(AG16:AG112)</f>
        <v>10</v>
      </c>
      <c r="AH113" s="19">
        <f>SUM(AH16:AH112)</f>
        <v>0</v>
      </c>
    </row>
    <row r="114" spans="1:34" x14ac:dyDescent="0.3">
      <c r="A114" s="50"/>
      <c r="B114" s="55"/>
      <c r="C114" s="55"/>
      <c r="D114" s="55"/>
      <c r="E114" s="54" t="s">
        <v>55</v>
      </c>
      <c r="F114" s="54"/>
      <c r="G114" s="40">
        <f>SUM(H16:H112)</f>
        <v>231</v>
      </c>
      <c r="H114" s="40"/>
      <c r="I114" s="19">
        <f>SUM(I16:I17)+SUM(I19:I112)</f>
        <v>214</v>
      </c>
      <c r="J114" s="19">
        <f>SUM(J16:J30)+SUM(J32)+SUM(J34:J112)</f>
        <v>185</v>
      </c>
      <c r="K114" s="19">
        <f>SUM(K16:K38)+SUM(K40:K112)</f>
        <v>172</v>
      </c>
      <c r="L114" s="19">
        <f>SUM(L16:L46)+SUM(L48:L112)</f>
        <v>159</v>
      </c>
      <c r="M114" s="19">
        <f>SUM(M16:M112)</f>
        <v>154</v>
      </c>
      <c r="N114" s="19">
        <f>SUM(N16:N51)+SUM(N53:N112)</f>
        <v>150</v>
      </c>
      <c r="O114" s="19">
        <f>SUM(O16:O112)-O27</f>
        <v>145</v>
      </c>
      <c r="P114" s="19">
        <f>SUM(P16:P112)</f>
        <v>145</v>
      </c>
      <c r="Q114" s="19">
        <f>SUM(Q16:Q112)+R43-Q41</f>
        <v>139</v>
      </c>
      <c r="R114" s="19">
        <f>SUM(R16:R112)-R43</f>
        <v>139</v>
      </c>
      <c r="S114" s="19">
        <f>SUM(S59:S112)+SUM(S16:S57)</f>
        <v>133</v>
      </c>
      <c r="T114" s="19">
        <f>SUM(T16:T112)+U56-T54-T51</f>
        <v>133</v>
      </c>
      <c r="U114" s="19">
        <f>SUM(U16:U112)-U59-U56</f>
        <v>127</v>
      </c>
      <c r="V114" s="19">
        <f>SUM(V16:V112)</f>
        <v>127</v>
      </c>
      <c r="W114" s="19">
        <f>SUM(W16:W112)</f>
        <v>123</v>
      </c>
      <c r="X114" s="19">
        <f>SUM(X16:X112)</f>
        <v>123</v>
      </c>
      <c r="Y114" s="19">
        <f>SUM(Y66:Y112)+SUM(Y16:Y64)</f>
        <v>113</v>
      </c>
      <c r="Z114" s="19">
        <f>SUM(Z16:Z112)+AA68</f>
        <v>109</v>
      </c>
      <c r="AA114" s="19">
        <f>SUM(AA16:AA69)+SUM(AA71:AA112)</f>
        <v>106</v>
      </c>
      <c r="AB114" s="19">
        <f>SUM(AB16:AB112)</f>
        <v>98.5</v>
      </c>
      <c r="AC114" s="19">
        <f>SUM(AC16:AC75)+SUM(AC77:AC112)</f>
        <v>85</v>
      </c>
      <c r="AD114" s="19">
        <f>SUM(AD16:AD84)+SUM(AD86:AD112)</f>
        <v>64</v>
      </c>
      <c r="AE114" s="19">
        <f>SUM(AE16:AE112)</f>
        <v>49</v>
      </c>
      <c r="AF114" s="19">
        <f>SUM(AF16:AF97)+SUM(AF99:AF112)</f>
        <v>28</v>
      </c>
      <c r="AG114" s="19">
        <f>SUM(AG16:AG112)</f>
        <v>10</v>
      </c>
      <c r="AH114" s="19">
        <f>SUM(AH17:AH113)</f>
        <v>0</v>
      </c>
    </row>
  </sheetData>
  <mergeCells count="215">
    <mergeCell ref="B48:B74"/>
    <mergeCell ref="B75:B87"/>
    <mergeCell ref="B88:B99"/>
    <mergeCell ref="B100:B110"/>
    <mergeCell ref="C31:D31"/>
    <mergeCell ref="E31:F31"/>
    <mergeCell ref="C70:D70"/>
    <mergeCell ref="C76:D76"/>
    <mergeCell ref="C85:D85"/>
    <mergeCell ref="C98:D98"/>
    <mergeCell ref="E107:F107"/>
    <mergeCell ref="E108:F108"/>
    <mergeCell ref="E109:F109"/>
    <mergeCell ref="E110:F110"/>
    <mergeCell ref="E44:F44"/>
    <mergeCell ref="E45:F45"/>
    <mergeCell ref="E46:F46"/>
    <mergeCell ref="E69:F69"/>
    <mergeCell ref="E71:F71"/>
    <mergeCell ref="E65:F65"/>
    <mergeCell ref="E70:F70"/>
    <mergeCell ref="E76:F76"/>
    <mergeCell ref="C34:D34"/>
    <mergeCell ref="C42:D42"/>
    <mergeCell ref="B113:D114"/>
    <mergeCell ref="E80:F80"/>
    <mergeCell ref="E81:F81"/>
    <mergeCell ref="E88:F88"/>
    <mergeCell ref="B111:B112"/>
    <mergeCell ref="E89:F89"/>
    <mergeCell ref="E96:F96"/>
    <mergeCell ref="E97:F97"/>
    <mergeCell ref="E99:F99"/>
    <mergeCell ref="C95:D95"/>
    <mergeCell ref="C96:D96"/>
    <mergeCell ref="C99:D99"/>
    <mergeCell ref="C107:D107"/>
    <mergeCell ref="C108:D108"/>
    <mergeCell ref="C109:D109"/>
    <mergeCell ref="E82:F82"/>
    <mergeCell ref="E83:F83"/>
    <mergeCell ref="E84:F84"/>
    <mergeCell ref="E86:F86"/>
    <mergeCell ref="E87:F87"/>
    <mergeCell ref="E95:F95"/>
    <mergeCell ref="E90:F90"/>
    <mergeCell ref="E91:F91"/>
    <mergeCell ref="E92:F92"/>
    <mergeCell ref="G114:H114"/>
    <mergeCell ref="E112:F112"/>
    <mergeCell ref="E113:F113"/>
    <mergeCell ref="E114:F114"/>
    <mergeCell ref="E100:F100"/>
    <mergeCell ref="E101:F101"/>
    <mergeCell ref="E102:F102"/>
    <mergeCell ref="E103:F103"/>
    <mergeCell ref="E104:F104"/>
    <mergeCell ref="E105:F105"/>
    <mergeCell ref="G113:H113"/>
    <mergeCell ref="E111:F111"/>
    <mergeCell ref="C35:D35"/>
    <mergeCell ref="C36:D36"/>
    <mergeCell ref="C37:D37"/>
    <mergeCell ref="C38:D38"/>
    <mergeCell ref="C45:D45"/>
    <mergeCell ref="C46:D46"/>
    <mergeCell ref="C48:D48"/>
    <mergeCell ref="C97:D97"/>
    <mergeCell ref="C47:D47"/>
    <mergeCell ref="C52:D52"/>
    <mergeCell ref="C58:D58"/>
    <mergeCell ref="C43:D43"/>
    <mergeCell ref="C44:D44"/>
    <mergeCell ref="C40:D40"/>
    <mergeCell ref="C41:D41"/>
    <mergeCell ref="C73:D73"/>
    <mergeCell ref="C78:D78"/>
    <mergeCell ref="C79:D79"/>
    <mergeCell ref="C55:D55"/>
    <mergeCell ref="C57:D57"/>
    <mergeCell ref="B6:E6"/>
    <mergeCell ref="B13:C13"/>
    <mergeCell ref="C15:D15"/>
    <mergeCell ref="E15:F15"/>
    <mergeCell ref="B16:D16"/>
    <mergeCell ref="B17:D17"/>
    <mergeCell ref="C21:D21"/>
    <mergeCell ref="C22:D22"/>
    <mergeCell ref="C23:D23"/>
    <mergeCell ref="B18:D18"/>
    <mergeCell ref="E18:F18"/>
    <mergeCell ref="E16:F16"/>
    <mergeCell ref="E17:F17"/>
    <mergeCell ref="E19:F19"/>
    <mergeCell ref="E20:F20"/>
    <mergeCell ref="E21:F21"/>
    <mergeCell ref="E22:F22"/>
    <mergeCell ref="E23:F23"/>
    <mergeCell ref="C24:D24"/>
    <mergeCell ref="C25:D25"/>
    <mergeCell ref="C26:D26"/>
    <mergeCell ref="C27:D27"/>
    <mergeCell ref="C32:D32"/>
    <mergeCell ref="C30:D30"/>
    <mergeCell ref="B19:D19"/>
    <mergeCell ref="E25:F25"/>
    <mergeCell ref="E26:F26"/>
    <mergeCell ref="E24:F24"/>
    <mergeCell ref="E27:F27"/>
    <mergeCell ref="B34:B47"/>
    <mergeCell ref="C111:D111"/>
    <mergeCell ref="C105:D105"/>
    <mergeCell ref="C104:D104"/>
    <mergeCell ref="C29:D29"/>
    <mergeCell ref="C28:D28"/>
    <mergeCell ref="E28:F28"/>
    <mergeCell ref="E29:F29"/>
    <mergeCell ref="E30:F30"/>
    <mergeCell ref="E32:F32"/>
    <mergeCell ref="C60:D60"/>
    <mergeCell ref="C62:D62"/>
    <mergeCell ref="C64:D64"/>
    <mergeCell ref="C67:D67"/>
    <mergeCell ref="C77:D77"/>
    <mergeCell ref="C93:D93"/>
    <mergeCell ref="C92:D92"/>
    <mergeCell ref="C103:D103"/>
    <mergeCell ref="C102:D102"/>
    <mergeCell ref="C101:D101"/>
    <mergeCell ref="C100:D100"/>
    <mergeCell ref="C94:D94"/>
    <mergeCell ref="C33:D33"/>
    <mergeCell ref="E47:F47"/>
    <mergeCell ref="A1:B1"/>
    <mergeCell ref="A2:B2"/>
    <mergeCell ref="A3:B3"/>
    <mergeCell ref="A4:B4"/>
    <mergeCell ref="C20:D20"/>
    <mergeCell ref="B20:B33"/>
    <mergeCell ref="A16:A114"/>
    <mergeCell ref="C39:D39"/>
    <mergeCell ref="C90:D90"/>
    <mergeCell ref="C91:D91"/>
    <mergeCell ref="C88:D88"/>
    <mergeCell ref="C89:D89"/>
    <mergeCell ref="C69:D69"/>
    <mergeCell ref="C72:D72"/>
    <mergeCell ref="C49:D49"/>
    <mergeCell ref="C51:D51"/>
    <mergeCell ref="C54:D54"/>
    <mergeCell ref="C56:D56"/>
    <mergeCell ref="C59:D59"/>
    <mergeCell ref="C66:D66"/>
    <mergeCell ref="C68:D68"/>
    <mergeCell ref="C71:D71"/>
    <mergeCell ref="C50:D50"/>
    <mergeCell ref="C53:D53"/>
    <mergeCell ref="E34:F34"/>
    <mergeCell ref="E33:F33"/>
    <mergeCell ref="E72:F72"/>
    <mergeCell ref="E73:F73"/>
    <mergeCell ref="E74:F74"/>
    <mergeCell ref="E48:F48"/>
    <mergeCell ref="E49:F49"/>
    <mergeCell ref="E50:F50"/>
    <mergeCell ref="E51:F51"/>
    <mergeCell ref="E53:F53"/>
    <mergeCell ref="E52:F52"/>
    <mergeCell ref="E40:F40"/>
    <mergeCell ref="E43:F43"/>
    <mergeCell ref="E41:F41"/>
    <mergeCell ref="E58:F58"/>
    <mergeCell ref="E39:F39"/>
    <mergeCell ref="E38:F38"/>
    <mergeCell ref="E37:F37"/>
    <mergeCell ref="E36:F36"/>
    <mergeCell ref="E35:F35"/>
    <mergeCell ref="E42:F42"/>
    <mergeCell ref="E75:F75"/>
    <mergeCell ref="E68:F68"/>
    <mergeCell ref="E67:F67"/>
    <mergeCell ref="E106:F106"/>
    <mergeCell ref="E66:F66"/>
    <mergeCell ref="E54:F54"/>
    <mergeCell ref="E56:F56"/>
    <mergeCell ref="E57:F57"/>
    <mergeCell ref="E59:F59"/>
    <mergeCell ref="E60:F60"/>
    <mergeCell ref="E61:F61"/>
    <mergeCell ref="E62:F62"/>
    <mergeCell ref="E63:F63"/>
    <mergeCell ref="E64:F64"/>
    <mergeCell ref="E55:F55"/>
    <mergeCell ref="E93:F93"/>
    <mergeCell ref="E94:F94"/>
    <mergeCell ref="E77:F77"/>
    <mergeCell ref="E79:F79"/>
    <mergeCell ref="E85:F85"/>
    <mergeCell ref="E98:F98"/>
    <mergeCell ref="E78:F78"/>
    <mergeCell ref="C112:D112"/>
    <mergeCell ref="C106:D106"/>
    <mergeCell ref="C61:D61"/>
    <mergeCell ref="C63:D63"/>
    <mergeCell ref="C74:D74"/>
    <mergeCell ref="C75:D75"/>
    <mergeCell ref="C110:D110"/>
    <mergeCell ref="C80:D80"/>
    <mergeCell ref="C81:D81"/>
    <mergeCell ref="C82:D82"/>
    <mergeCell ref="C83:D83"/>
    <mergeCell ref="C84:D84"/>
    <mergeCell ref="C86:D86"/>
    <mergeCell ref="C87:D87"/>
    <mergeCell ref="C65:D65"/>
  </mergeCells>
  <pageMargins left="0.7" right="0.7" top="0.75" bottom="0.75" header="0.3" footer="0.3"/>
  <pageSetup orientation="portrait" horizontalDpi="1200" verticalDpi="1200" r:id="rId1"/>
  <ignoredErrors>
    <ignoredError sqref="P114:R114 M113 V113 X113 Z113 AB113 AG114:AH114 AG113:AH113 O113:R113 T114:X114 T113 Z114 AB114 AE113" formulaRange="1"/>
    <ignoredError sqref="U113" formula="1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09"/>
  <sheetViews>
    <sheetView topLeftCell="A19" zoomScale="55" zoomScaleNormal="55" workbookViewId="0">
      <selection activeCell="Q26" sqref="Q26"/>
    </sheetView>
  </sheetViews>
  <sheetFormatPr defaultRowHeight="14.4" x14ac:dyDescent="0.3"/>
  <cols>
    <col min="1" max="1" width="13.6640625" customWidth="1"/>
    <col min="2" max="2" width="21.109375" customWidth="1"/>
    <col min="3" max="3" width="55.88671875" customWidth="1"/>
    <col min="4" max="4" width="12" customWidth="1"/>
    <col min="5" max="5" width="10.2187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  <col min="29" max="29" width="6.109375" customWidth="1"/>
    <col min="30" max="30" width="6" customWidth="1"/>
    <col min="31" max="36" width="6.6640625" customWidth="1"/>
  </cols>
  <sheetData>
    <row r="1" spans="1:60" ht="38.4" customHeight="1" thickBot="1" x14ac:dyDescent="0.35">
      <c r="A1" s="42" t="s">
        <v>3</v>
      </c>
      <c r="B1" s="42"/>
      <c r="C1" s="32" t="s">
        <v>64</v>
      </c>
      <c r="D1" s="1"/>
      <c r="E1" s="8"/>
      <c r="F1" s="9" t="s">
        <v>63</v>
      </c>
    </row>
    <row r="2" spans="1:60" ht="17.399999999999999" thickBot="1" x14ac:dyDescent="0.35">
      <c r="A2" s="42" t="s">
        <v>2</v>
      </c>
      <c r="B2" s="42"/>
      <c r="C2" s="3" t="s">
        <v>39</v>
      </c>
      <c r="D2" s="1"/>
      <c r="E2" s="10"/>
      <c r="F2" s="11" t="s">
        <v>62</v>
      </c>
    </row>
    <row r="3" spans="1:60" ht="17.399999999999999" thickBot="1" x14ac:dyDescent="0.35">
      <c r="A3" s="42" t="s">
        <v>1</v>
      </c>
      <c r="B3" s="42"/>
      <c r="C3" s="4">
        <v>45961</v>
      </c>
      <c r="D3" s="1"/>
      <c r="E3" s="12"/>
      <c r="F3" s="11" t="s">
        <v>61</v>
      </c>
    </row>
    <row r="4" spans="1:60" ht="18" customHeight="1" thickBot="1" x14ac:dyDescent="0.35">
      <c r="A4" s="42" t="s">
        <v>0</v>
      </c>
      <c r="B4" s="42"/>
      <c r="C4" s="4">
        <v>45988</v>
      </c>
      <c r="D4" s="1"/>
      <c r="E4" s="13"/>
      <c r="F4" s="11" t="s">
        <v>60</v>
      </c>
    </row>
    <row r="5" spans="1:60" ht="18" customHeight="1" thickBot="1" x14ac:dyDescent="0.35">
      <c r="A5" s="1"/>
      <c r="B5" s="1"/>
      <c r="C5" s="1"/>
      <c r="D5" s="1"/>
      <c r="E5" s="14"/>
      <c r="F5" s="15" t="s">
        <v>59</v>
      </c>
    </row>
    <row r="6" spans="1:60" ht="17.399999999999999" thickBot="1" x14ac:dyDescent="0.35">
      <c r="A6" s="1"/>
      <c r="B6" s="65" t="s">
        <v>40</v>
      </c>
      <c r="C6" s="65"/>
      <c r="D6" s="65"/>
      <c r="E6" s="66"/>
    </row>
    <row r="7" spans="1:60" ht="17.399999999999999" thickBot="1" x14ac:dyDescent="0.35">
      <c r="A7" s="1"/>
      <c r="B7" s="6" t="s">
        <v>6</v>
      </c>
      <c r="C7" s="6" t="s">
        <v>56</v>
      </c>
      <c r="D7" s="6" t="s">
        <v>11</v>
      </c>
      <c r="E7" s="6" t="s">
        <v>55</v>
      </c>
    </row>
    <row r="8" spans="1:60" ht="17.399999999999999" thickBot="1" x14ac:dyDescent="0.35">
      <c r="A8" s="1"/>
      <c r="B8" s="7">
        <v>1</v>
      </c>
      <c r="C8" s="3" t="s">
        <v>66</v>
      </c>
      <c r="D8" s="3">
        <f ca="1">SUMIF($E$16:$F$107,"Đạt",$G$16:$G$107) +SUMIF($E$16:$F$107,"*Đạt*",$G$16:$G$107)/2 -SUMIF($E$16:$F$107,"Đạt",$G$16:$G$107)/2 +SUMIF($E$16:$F$107,"All team",$G$16:$G$107)/5</f>
        <v>82.5</v>
      </c>
      <c r="E8" s="3">
        <f ca="1">SUMIF($E$16:$F$107,"Đạt",$H$16:$H$107) +SUMIF($E$16:$F$107,"*Đạt*",$H$16:$H$107)/2 -SUMIF($E$16:$F$107,"Đạt",$H$16:$H$107)/2 +SUMIF($E$16:$F$107,"All team",$H$16:$H$107)/5</f>
        <v>79.5</v>
      </c>
    </row>
    <row r="9" spans="1:60" ht="17.399999999999999" thickBot="1" x14ac:dyDescent="0.35">
      <c r="A9" s="1"/>
      <c r="B9" s="7">
        <v>2</v>
      </c>
      <c r="C9" s="3" t="s">
        <v>67</v>
      </c>
      <c r="D9" s="3">
        <f ca="1">SUMIF($E$16:$F$107,"Đức",$G$16:$G$107) +SUMIF($E$16:$F$107,"*Đức*",$G$16:$G$107)/2 -SUMIF($E$16:$F$107,"Đức",$G$16:$G$107)/2 +SUMIF($E$16:$F$107,"All team",$G$16:$G$107)/5</f>
        <v>37.5</v>
      </c>
      <c r="E9" s="3">
        <f ca="1">SUMIF($E$16:$F$107,"Đức",$H$16:$H$107) +SUMIF($E$16:$F$107,"*Đức*",$H$16:$H$107)/2 -SUMIF($E$16:$F$107,"Đức",$H$16:$H$107)/2 +SUMIF($E$16:$F$107,"All team",$H$16:$H$107)/5</f>
        <v>35</v>
      </c>
    </row>
    <row r="10" spans="1:60" ht="17.399999999999999" thickBot="1" x14ac:dyDescent="0.35">
      <c r="A10" s="1"/>
      <c r="B10" s="7">
        <v>3</v>
      </c>
      <c r="C10" s="3" t="s">
        <v>68</v>
      </c>
      <c r="D10" s="3">
        <f ca="1">SUMIF($E$16:$F$107,"Huy",$G$16:$G$107) +SUMIF($E$16:$F$107,"*Huy*",$G$16:$G$107)/2 -SUMIF($E$16:$F$107,"Huy",$G$16:$G$107)/2 +SUMIF($E$16:$F$107,"All team",$G$16:$G$107)/5</f>
        <v>35.5</v>
      </c>
      <c r="E10" s="3">
        <f ca="1">SUMIF($E$16:$F$107,"Huy",$H$16:$H$107) +SUMIF($E$16:$F$107,"*Huy*",$H$16:$H$107)/2 -SUMIF($E$16:$F$107,"Huy",$H$16:$H$107)/2 +SUMIF($E$16:$F$107,"All team",$H$16:$H$107)/5</f>
        <v>36</v>
      </c>
    </row>
    <row r="11" spans="1:60" ht="17.399999999999999" thickBot="1" x14ac:dyDescent="0.35">
      <c r="A11" s="1"/>
      <c r="B11" s="7">
        <v>4</v>
      </c>
      <c r="C11" s="3" t="s">
        <v>69</v>
      </c>
      <c r="D11" s="3">
        <f ca="1">SUMIF($E$16:$F$107,"Khánh",$G$16:$G$107) +SUMIF($E$16:$F$107,"*Khánh*",$G$16:$G$107)/2 -SUMIF($E$16:$F$107,"Khánh",$G$16:$G$107)/2 +SUMIF($E$16:$F$107,"All team",$G$16:$G$107)/5</f>
        <v>38</v>
      </c>
      <c r="E11" s="3">
        <f ca="1">SUMIF($E$16:$F$107,"Khánh",$H$16:$H$107) +SUMIF($E$16:$F$107,"*Khánh*",$H$16:$H$107)/2 -SUMIF($E$16:$F$107,"Khánh",$H$16:$H$107)/2 +SUMIF($E$16:$F$107,"All team",$H$16:$H$107)/5</f>
        <v>35</v>
      </c>
    </row>
    <row r="12" spans="1:60" ht="17.399999999999999" thickBot="1" x14ac:dyDescent="0.35">
      <c r="A12" s="1"/>
      <c r="B12" s="7">
        <v>5</v>
      </c>
      <c r="C12" s="3" t="s">
        <v>70</v>
      </c>
      <c r="D12" s="3">
        <f ca="1">SUMIF($E$16:$F$107,"Tấn",$G$16:$G$107) +SUMIF($E$16:$F$107,"*Tấn*",$G$16:$G$107)/2 -SUMIF($E$16:$F$107,"Tấn",$G$16:$G$107)/2 +SUMIF($E$16:$F$107,"All team",$G$16:$G$107)/5</f>
        <v>31</v>
      </c>
      <c r="E12" s="3">
        <f ca="1">SUMIF($E$16:$F$107,"Tấn",$H$16:$H$107) +SUMIF($E$16:$F$107,"*Tấn*",$H$16:$H$107)/2 -SUMIF($E$16:$F$107,"Tấn",$H$16:$H$107)/2 +SUMIF($E$16:$F$107,"All team",$H$16:$H$107)/5</f>
        <v>31.5</v>
      </c>
    </row>
    <row r="13" spans="1:60" ht="17.399999999999999" thickBot="1" x14ac:dyDescent="0.35">
      <c r="A13" s="1"/>
      <c r="B13" s="51" t="s">
        <v>12</v>
      </c>
      <c r="C13" s="51"/>
      <c r="D13" s="5">
        <f ca="1">SUM(D8:D12)</f>
        <v>224.5</v>
      </c>
      <c r="E13" s="5">
        <f ca="1">SUM(E8:E12)</f>
        <v>217</v>
      </c>
    </row>
    <row r="15" spans="1:60" ht="63.75" customHeight="1" x14ac:dyDescent="0.3">
      <c r="A15" s="21" t="s">
        <v>7</v>
      </c>
      <c r="B15" s="21" t="s">
        <v>8</v>
      </c>
      <c r="C15" s="67" t="s">
        <v>9</v>
      </c>
      <c r="D15" s="67"/>
      <c r="E15" s="67" t="s">
        <v>10</v>
      </c>
      <c r="F15" s="67"/>
      <c r="G15" s="17" t="s">
        <v>11</v>
      </c>
      <c r="H15" s="17" t="s">
        <v>55</v>
      </c>
      <c r="I15" s="18">
        <v>45961</v>
      </c>
      <c r="J15" s="18">
        <v>45962</v>
      </c>
      <c r="K15" s="18">
        <v>45963</v>
      </c>
      <c r="L15" s="18">
        <v>45964</v>
      </c>
      <c r="M15" s="18">
        <v>45965</v>
      </c>
      <c r="N15" s="18">
        <v>45966</v>
      </c>
      <c r="O15" s="18">
        <v>45967</v>
      </c>
      <c r="P15" s="18">
        <v>45968</v>
      </c>
      <c r="Q15" s="18">
        <v>45969</v>
      </c>
      <c r="R15" s="18">
        <v>45970</v>
      </c>
      <c r="S15" s="18">
        <v>45971</v>
      </c>
      <c r="T15" s="18">
        <v>45972</v>
      </c>
      <c r="U15" s="18">
        <v>45973</v>
      </c>
      <c r="V15" s="18">
        <v>45974</v>
      </c>
      <c r="W15" s="18">
        <v>45975</v>
      </c>
      <c r="X15" s="18">
        <v>45976</v>
      </c>
      <c r="Y15" s="18">
        <v>45977</v>
      </c>
      <c r="Z15" s="18">
        <v>45978</v>
      </c>
      <c r="AA15" s="18">
        <v>45979</v>
      </c>
      <c r="AB15" s="18">
        <v>45980</v>
      </c>
      <c r="AC15" s="18">
        <v>45981</v>
      </c>
      <c r="AD15" s="18">
        <v>45982</v>
      </c>
      <c r="AE15" s="18">
        <v>45983</v>
      </c>
      <c r="AF15" s="18">
        <v>45984</v>
      </c>
      <c r="AG15" s="18">
        <v>45985</v>
      </c>
      <c r="AH15" s="18">
        <v>45986</v>
      </c>
      <c r="AI15" s="18">
        <v>45987</v>
      </c>
      <c r="AJ15" s="18">
        <v>45988</v>
      </c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6.8" x14ac:dyDescent="0.3">
      <c r="A16" s="48" t="s">
        <v>39</v>
      </c>
      <c r="B16" s="37" t="s">
        <v>13</v>
      </c>
      <c r="C16" s="37"/>
      <c r="D16" s="37"/>
      <c r="E16" s="40" t="s">
        <v>54</v>
      </c>
      <c r="F16" s="40"/>
      <c r="G16" s="19">
        <v>10</v>
      </c>
      <c r="H16" s="19">
        <v>10</v>
      </c>
      <c r="I16" s="20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9">
        <v>0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</row>
    <row r="17" spans="1:36" ht="16.8" x14ac:dyDescent="0.3">
      <c r="A17" s="49"/>
      <c r="B17" s="37" t="s">
        <v>51</v>
      </c>
      <c r="C17" s="37"/>
      <c r="D17" s="37"/>
      <c r="E17" s="40" t="s">
        <v>202</v>
      </c>
      <c r="F17" s="40"/>
      <c r="G17" s="19">
        <v>5</v>
      </c>
      <c r="H17" s="19">
        <v>4</v>
      </c>
      <c r="I17" s="20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  <c r="V17" s="19">
        <v>0</v>
      </c>
      <c r="W17" s="19">
        <v>0</v>
      </c>
      <c r="X17" s="19">
        <v>0</v>
      </c>
      <c r="Y17" s="19">
        <v>0</v>
      </c>
      <c r="Z17" s="19">
        <v>0</v>
      </c>
      <c r="AA17" s="19">
        <v>0</v>
      </c>
      <c r="AB17" s="19">
        <v>0</v>
      </c>
      <c r="AC17" s="19">
        <v>0</v>
      </c>
      <c r="AD17" s="19">
        <v>0</v>
      </c>
      <c r="AE17" s="19">
        <v>0</v>
      </c>
      <c r="AF17" s="19">
        <v>0</v>
      </c>
      <c r="AG17" s="19">
        <v>0</v>
      </c>
      <c r="AH17" s="19">
        <v>0</v>
      </c>
      <c r="AI17" s="19">
        <v>0</v>
      </c>
      <c r="AJ17" s="19">
        <v>0</v>
      </c>
    </row>
    <row r="18" spans="1:36" ht="16.8" x14ac:dyDescent="0.3">
      <c r="A18" s="49"/>
      <c r="B18" s="40"/>
      <c r="C18" s="40"/>
      <c r="D18" s="40"/>
      <c r="E18" s="40"/>
      <c r="F18" s="40"/>
      <c r="G18" s="19"/>
      <c r="H18" s="19"/>
      <c r="I18" s="12">
        <v>1</v>
      </c>
      <c r="J18" s="19">
        <v>0</v>
      </c>
      <c r="K18" s="19">
        <v>0</v>
      </c>
      <c r="L18" s="19">
        <v>0</v>
      </c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</row>
    <row r="19" spans="1:36" ht="16.8" x14ac:dyDescent="0.3">
      <c r="A19" s="49"/>
      <c r="B19" s="37" t="s">
        <v>15</v>
      </c>
      <c r="C19" s="37"/>
      <c r="D19" s="37"/>
      <c r="E19" s="40" t="s">
        <v>201</v>
      </c>
      <c r="F19" s="40"/>
      <c r="G19" s="19">
        <v>3</v>
      </c>
      <c r="H19" s="19">
        <v>4</v>
      </c>
      <c r="I19" s="20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</row>
    <row r="20" spans="1:36" ht="17.399999999999999" thickBot="1" x14ac:dyDescent="0.35">
      <c r="A20" s="49"/>
      <c r="B20" s="40"/>
      <c r="C20" s="40"/>
      <c r="D20" s="40"/>
      <c r="E20" s="40"/>
      <c r="F20" s="40"/>
      <c r="G20" s="19"/>
      <c r="H20" s="19"/>
      <c r="I20" s="14">
        <v>1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r="21" spans="1:36" ht="17.25" customHeight="1" x14ac:dyDescent="0.3">
      <c r="A21" s="49"/>
      <c r="B21" s="60" t="s">
        <v>18</v>
      </c>
      <c r="C21" s="37" t="s">
        <v>225</v>
      </c>
      <c r="D21" s="37"/>
      <c r="E21" s="40" t="s">
        <v>130</v>
      </c>
      <c r="F21" s="40"/>
      <c r="G21" s="19">
        <v>2</v>
      </c>
      <c r="H21" s="19">
        <v>2</v>
      </c>
      <c r="I21" s="19">
        <v>1</v>
      </c>
      <c r="J21" s="20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  <c r="AG21" s="19">
        <v>0</v>
      </c>
      <c r="AH21" s="19">
        <v>0</v>
      </c>
      <c r="AI21" s="19">
        <v>0</v>
      </c>
      <c r="AJ21" s="19">
        <v>0</v>
      </c>
    </row>
    <row r="22" spans="1:36" ht="16.8" x14ac:dyDescent="0.3">
      <c r="A22" s="49"/>
      <c r="B22" s="61"/>
      <c r="C22" s="37" t="s">
        <v>139</v>
      </c>
      <c r="D22" s="37"/>
      <c r="E22" s="40" t="s">
        <v>128</v>
      </c>
      <c r="F22" s="40"/>
      <c r="G22" s="19">
        <v>2</v>
      </c>
      <c r="H22" s="19">
        <v>2</v>
      </c>
      <c r="I22" s="19">
        <v>1</v>
      </c>
      <c r="J22" s="20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</row>
    <row r="23" spans="1:36" ht="16.8" x14ac:dyDescent="0.3">
      <c r="A23" s="49"/>
      <c r="B23" s="61"/>
      <c r="C23" s="37" t="s">
        <v>140</v>
      </c>
      <c r="D23" s="37"/>
      <c r="E23" s="40" t="s">
        <v>130</v>
      </c>
      <c r="F23" s="40"/>
      <c r="G23" s="19">
        <v>2</v>
      </c>
      <c r="H23" s="19">
        <v>2</v>
      </c>
      <c r="I23" s="19">
        <v>1</v>
      </c>
      <c r="J23" s="20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  <c r="AG23" s="19">
        <v>0</v>
      </c>
      <c r="AH23" s="19">
        <v>0</v>
      </c>
      <c r="AI23" s="19">
        <v>0</v>
      </c>
      <c r="AJ23" s="19">
        <v>0</v>
      </c>
    </row>
    <row r="24" spans="1:36" ht="16.8" x14ac:dyDescent="0.3">
      <c r="A24" s="49"/>
      <c r="B24" s="61"/>
      <c r="C24" s="37" t="s">
        <v>226</v>
      </c>
      <c r="D24" s="37"/>
      <c r="E24" s="40" t="s">
        <v>131</v>
      </c>
      <c r="F24" s="40"/>
      <c r="G24" s="19">
        <v>2</v>
      </c>
      <c r="H24" s="19">
        <v>2</v>
      </c>
      <c r="I24" s="19">
        <v>1</v>
      </c>
      <c r="J24" s="20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</row>
    <row r="25" spans="1:36" ht="16.8" x14ac:dyDescent="0.3">
      <c r="A25" s="49"/>
      <c r="B25" s="61"/>
      <c r="C25" s="37" t="s">
        <v>142</v>
      </c>
      <c r="D25" s="37"/>
      <c r="E25" s="40" t="s">
        <v>129</v>
      </c>
      <c r="F25" s="40"/>
      <c r="G25" s="19">
        <v>2</v>
      </c>
      <c r="H25" s="19">
        <v>2</v>
      </c>
      <c r="I25" s="19">
        <v>1</v>
      </c>
      <c r="J25" s="20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</row>
    <row r="26" spans="1:36" ht="16.8" x14ac:dyDescent="0.3">
      <c r="A26" s="49"/>
      <c r="B26" s="61"/>
      <c r="C26" s="37" t="s">
        <v>218</v>
      </c>
      <c r="D26" s="37"/>
      <c r="E26" s="40" t="s">
        <v>131</v>
      </c>
      <c r="F26" s="40"/>
      <c r="G26" s="19">
        <v>3</v>
      </c>
      <c r="H26" s="19">
        <v>2</v>
      </c>
      <c r="I26" s="19">
        <v>1</v>
      </c>
      <c r="J26" s="20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  <c r="AG26" s="19">
        <v>0</v>
      </c>
      <c r="AH26" s="19">
        <v>0</v>
      </c>
      <c r="AI26" s="19">
        <v>0</v>
      </c>
      <c r="AJ26" s="19">
        <v>0</v>
      </c>
    </row>
    <row r="27" spans="1:36" ht="16.8" x14ac:dyDescent="0.3">
      <c r="A27" s="49"/>
      <c r="B27" s="61"/>
      <c r="C27" s="63"/>
      <c r="D27" s="64"/>
      <c r="E27" s="63"/>
      <c r="F27" s="64"/>
      <c r="G27" s="19"/>
      <c r="H27" s="19"/>
      <c r="I27" s="19"/>
      <c r="J27" s="12">
        <v>1</v>
      </c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</row>
    <row r="28" spans="1:36" ht="16.8" x14ac:dyDescent="0.3">
      <c r="A28" s="49"/>
      <c r="B28" s="61"/>
      <c r="C28" s="37" t="s">
        <v>217</v>
      </c>
      <c r="D28" s="37"/>
      <c r="E28" s="40" t="s">
        <v>130</v>
      </c>
      <c r="F28" s="40"/>
      <c r="G28" s="19">
        <v>2</v>
      </c>
      <c r="H28" s="19">
        <v>2</v>
      </c>
      <c r="I28" s="19">
        <v>1</v>
      </c>
      <c r="J28" s="20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  <c r="AG28" s="19">
        <v>0</v>
      </c>
      <c r="AH28" s="19">
        <v>0</v>
      </c>
      <c r="AI28" s="19">
        <v>0</v>
      </c>
      <c r="AJ28" s="19">
        <v>0</v>
      </c>
    </row>
    <row r="29" spans="1:36" ht="16.8" x14ac:dyDescent="0.3">
      <c r="A29" s="49"/>
      <c r="B29" s="61"/>
      <c r="C29" s="37" t="s">
        <v>143</v>
      </c>
      <c r="D29" s="37"/>
      <c r="E29" s="40" t="s">
        <v>129</v>
      </c>
      <c r="F29" s="40"/>
      <c r="G29" s="19">
        <v>2</v>
      </c>
      <c r="H29" s="19">
        <v>2</v>
      </c>
      <c r="I29" s="19">
        <v>1</v>
      </c>
      <c r="J29" s="20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  <c r="AG29" s="19">
        <v>0</v>
      </c>
      <c r="AH29" s="19">
        <v>0</v>
      </c>
      <c r="AI29" s="19">
        <v>0</v>
      </c>
      <c r="AJ29" s="19">
        <v>0</v>
      </c>
    </row>
    <row r="30" spans="1:36" ht="16.8" x14ac:dyDescent="0.3">
      <c r="A30" s="49"/>
      <c r="B30" s="61"/>
      <c r="C30" s="37" t="s">
        <v>144</v>
      </c>
      <c r="D30" s="37"/>
      <c r="E30" s="38" t="s">
        <v>128</v>
      </c>
      <c r="F30" s="39"/>
      <c r="G30" s="19">
        <v>2.5</v>
      </c>
      <c r="H30" s="19">
        <v>2</v>
      </c>
      <c r="I30" s="19">
        <v>1</v>
      </c>
      <c r="J30" s="20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19">
        <v>0</v>
      </c>
      <c r="AJ30" s="19">
        <v>0</v>
      </c>
    </row>
    <row r="31" spans="1:36" ht="16.8" x14ac:dyDescent="0.3">
      <c r="A31" s="49"/>
      <c r="B31" s="61"/>
      <c r="C31" s="63"/>
      <c r="D31" s="64"/>
      <c r="E31" s="63"/>
      <c r="F31" s="64"/>
      <c r="G31" s="19"/>
      <c r="H31" s="19"/>
      <c r="I31" s="19"/>
      <c r="J31" s="12">
        <v>0.5</v>
      </c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</row>
    <row r="32" spans="1:36" ht="16.8" x14ac:dyDescent="0.3">
      <c r="A32" s="49"/>
      <c r="B32" s="61"/>
      <c r="C32" s="37" t="s">
        <v>145</v>
      </c>
      <c r="D32" s="37"/>
      <c r="E32" s="38" t="s">
        <v>131</v>
      </c>
      <c r="F32" s="39"/>
      <c r="G32" s="19">
        <v>1</v>
      </c>
      <c r="H32" s="19">
        <v>2</v>
      </c>
      <c r="I32" s="19">
        <v>1</v>
      </c>
      <c r="J32" s="20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</row>
    <row r="33" spans="1:36" ht="16.8" x14ac:dyDescent="0.3">
      <c r="A33" s="49"/>
      <c r="B33" s="61"/>
      <c r="C33" s="37" t="s">
        <v>52</v>
      </c>
      <c r="D33" s="37"/>
      <c r="E33" s="38" t="s">
        <v>54</v>
      </c>
      <c r="F33" s="39"/>
      <c r="G33" s="33">
        <v>10</v>
      </c>
      <c r="H33" s="19">
        <v>10</v>
      </c>
      <c r="I33" s="19">
        <v>10</v>
      </c>
      <c r="J33" s="20">
        <v>0</v>
      </c>
      <c r="K33" s="33">
        <v>0</v>
      </c>
      <c r="L33" s="19">
        <v>0</v>
      </c>
      <c r="M33" s="19">
        <v>0</v>
      </c>
      <c r="N33" s="19">
        <v>0</v>
      </c>
      <c r="O33" s="19">
        <v>0</v>
      </c>
      <c r="P33" s="19">
        <v>0</v>
      </c>
      <c r="Q33" s="19">
        <v>0</v>
      </c>
      <c r="R33" s="19">
        <v>0</v>
      </c>
      <c r="S33" s="19">
        <v>0</v>
      </c>
      <c r="T33" s="19">
        <v>0</v>
      </c>
      <c r="U33" s="19">
        <v>0</v>
      </c>
      <c r="V33" s="19">
        <v>0</v>
      </c>
      <c r="W33" s="19">
        <v>0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19">
        <v>0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J33" s="19">
        <v>0</v>
      </c>
    </row>
    <row r="34" spans="1:36" ht="16.8" x14ac:dyDescent="0.3">
      <c r="A34" s="49"/>
      <c r="B34" s="62"/>
      <c r="C34" s="63"/>
      <c r="D34" s="64"/>
      <c r="E34" s="63"/>
      <c r="F34" s="6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</row>
    <row r="35" spans="1:36" ht="16.8" x14ac:dyDescent="0.3">
      <c r="A35" s="49"/>
      <c r="B35" s="57" t="s">
        <v>23</v>
      </c>
      <c r="C35" s="37" t="s">
        <v>44</v>
      </c>
      <c r="D35" s="37"/>
      <c r="E35" s="40" t="s">
        <v>128</v>
      </c>
      <c r="F35" s="40"/>
      <c r="G35" s="19">
        <v>1</v>
      </c>
      <c r="H35" s="19">
        <v>1</v>
      </c>
      <c r="I35" s="19">
        <v>1</v>
      </c>
      <c r="J35" s="19">
        <v>1</v>
      </c>
      <c r="K35" s="20">
        <v>0</v>
      </c>
      <c r="L35" s="19">
        <v>0</v>
      </c>
      <c r="M35" s="19">
        <v>0</v>
      </c>
      <c r="N35" s="19">
        <v>0</v>
      </c>
      <c r="O35" s="19">
        <v>0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  <c r="U35" s="19">
        <v>0</v>
      </c>
      <c r="V35" s="19">
        <v>0</v>
      </c>
      <c r="W35" s="19">
        <v>0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19">
        <v>0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J35" s="19">
        <v>0</v>
      </c>
    </row>
    <row r="36" spans="1:36" ht="16.8" x14ac:dyDescent="0.3">
      <c r="A36" s="49"/>
      <c r="B36" s="58"/>
      <c r="C36" s="37" t="s">
        <v>147</v>
      </c>
      <c r="D36" s="37"/>
      <c r="E36" s="40" t="s">
        <v>128</v>
      </c>
      <c r="F36" s="40"/>
      <c r="G36" s="19">
        <v>1</v>
      </c>
      <c r="H36" s="19">
        <v>1</v>
      </c>
      <c r="I36" s="19">
        <v>1</v>
      </c>
      <c r="J36" s="19">
        <v>1</v>
      </c>
      <c r="K36" s="20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J36" s="19">
        <v>0</v>
      </c>
    </row>
    <row r="37" spans="1:36" ht="16.8" x14ac:dyDescent="0.3">
      <c r="A37" s="49"/>
      <c r="B37" s="58"/>
      <c r="C37" s="37" t="s">
        <v>148</v>
      </c>
      <c r="D37" s="37"/>
      <c r="E37" s="40" t="s">
        <v>130</v>
      </c>
      <c r="F37" s="40"/>
      <c r="G37" s="19">
        <v>1</v>
      </c>
      <c r="H37" s="19">
        <v>1</v>
      </c>
      <c r="I37" s="19">
        <v>1</v>
      </c>
      <c r="J37" s="19">
        <v>1</v>
      </c>
      <c r="K37" s="20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  <c r="W37" s="19">
        <v>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19">
        <v>0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</row>
    <row r="38" spans="1:36" ht="16.8" x14ac:dyDescent="0.3">
      <c r="A38" s="49"/>
      <c r="B38" s="58"/>
      <c r="C38" s="37" t="s">
        <v>79</v>
      </c>
      <c r="D38" s="37"/>
      <c r="E38" s="40" t="s">
        <v>131</v>
      </c>
      <c r="F38" s="40"/>
      <c r="G38" s="19">
        <v>1</v>
      </c>
      <c r="H38" s="19">
        <v>1</v>
      </c>
      <c r="I38" s="19">
        <v>1</v>
      </c>
      <c r="J38" s="19">
        <v>1</v>
      </c>
      <c r="K38" s="20">
        <v>0</v>
      </c>
      <c r="L38" s="19">
        <v>0</v>
      </c>
      <c r="M38" s="19">
        <v>0</v>
      </c>
      <c r="N38" s="19">
        <v>0</v>
      </c>
      <c r="O38" s="19">
        <v>0</v>
      </c>
      <c r="P38" s="19">
        <v>0</v>
      </c>
      <c r="Q38" s="19">
        <v>0</v>
      </c>
      <c r="R38" s="19">
        <v>0</v>
      </c>
      <c r="S38" s="19">
        <v>0</v>
      </c>
      <c r="T38" s="19">
        <v>0</v>
      </c>
      <c r="U38" s="19">
        <v>0</v>
      </c>
      <c r="V38" s="19">
        <v>0</v>
      </c>
      <c r="W38" s="19">
        <v>0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19">
        <v>0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</row>
    <row r="39" spans="1:36" ht="16.8" x14ac:dyDescent="0.3">
      <c r="A39" s="49"/>
      <c r="B39" s="58"/>
      <c r="C39" s="37" t="s">
        <v>150</v>
      </c>
      <c r="D39" s="37"/>
      <c r="E39" s="40" t="s">
        <v>129</v>
      </c>
      <c r="F39" s="40"/>
      <c r="G39" s="19">
        <v>1</v>
      </c>
      <c r="H39" s="19">
        <v>1</v>
      </c>
      <c r="I39" s="19">
        <v>1</v>
      </c>
      <c r="J39" s="19">
        <v>1</v>
      </c>
      <c r="K39" s="20">
        <v>0</v>
      </c>
      <c r="L39" s="19">
        <v>0</v>
      </c>
      <c r="M39" s="19">
        <v>0</v>
      </c>
      <c r="N39" s="19">
        <v>0</v>
      </c>
      <c r="O39" s="19">
        <v>0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  <c r="U39" s="19">
        <v>0</v>
      </c>
      <c r="V39" s="19">
        <v>0</v>
      </c>
      <c r="W39" s="19">
        <v>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19">
        <v>0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</row>
    <row r="40" spans="1:36" ht="16.8" x14ac:dyDescent="0.3">
      <c r="A40" s="49"/>
      <c r="B40" s="58"/>
      <c r="C40" s="37" t="s">
        <v>219</v>
      </c>
      <c r="D40" s="37"/>
      <c r="E40" s="40" t="s">
        <v>131</v>
      </c>
      <c r="F40" s="40"/>
      <c r="G40" s="19">
        <v>1</v>
      </c>
      <c r="H40" s="19">
        <v>1</v>
      </c>
      <c r="I40" s="33">
        <v>1</v>
      </c>
      <c r="J40" s="33">
        <v>1</v>
      </c>
      <c r="K40" s="20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  <c r="W40" s="19">
        <v>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19">
        <v>0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</row>
    <row r="41" spans="1:36" ht="16.8" x14ac:dyDescent="0.3">
      <c r="A41" s="49"/>
      <c r="B41" s="58"/>
      <c r="C41" s="37" t="s">
        <v>216</v>
      </c>
      <c r="D41" s="37"/>
      <c r="E41" s="40" t="s">
        <v>130</v>
      </c>
      <c r="F41" s="40"/>
      <c r="G41" s="19">
        <v>1</v>
      </c>
      <c r="H41" s="19">
        <v>1</v>
      </c>
      <c r="I41" s="19">
        <v>1</v>
      </c>
      <c r="J41" s="19">
        <v>1</v>
      </c>
      <c r="K41" s="20">
        <v>0</v>
      </c>
      <c r="L41" s="19">
        <v>0</v>
      </c>
      <c r="M41" s="19">
        <v>0</v>
      </c>
      <c r="N41" s="19">
        <v>0</v>
      </c>
      <c r="O41" s="19">
        <v>0</v>
      </c>
      <c r="P41" s="19">
        <v>0</v>
      </c>
      <c r="Q41" s="19">
        <v>0</v>
      </c>
      <c r="R41" s="19">
        <v>0</v>
      </c>
      <c r="S41" s="19">
        <v>0</v>
      </c>
      <c r="T41" s="19">
        <v>0</v>
      </c>
      <c r="U41" s="19">
        <v>0</v>
      </c>
      <c r="V41" s="19">
        <v>0</v>
      </c>
      <c r="W41" s="19">
        <v>0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19">
        <v>0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J41" s="19">
        <v>0</v>
      </c>
    </row>
    <row r="42" spans="1:36" ht="16.8" x14ac:dyDescent="0.3">
      <c r="A42" s="49"/>
      <c r="B42" s="58"/>
      <c r="C42" s="37" t="s">
        <v>151</v>
      </c>
      <c r="D42" s="37"/>
      <c r="E42" s="40" t="s">
        <v>129</v>
      </c>
      <c r="F42" s="40"/>
      <c r="G42" s="19">
        <v>1</v>
      </c>
      <c r="H42" s="19">
        <v>1</v>
      </c>
      <c r="I42" s="19">
        <v>1</v>
      </c>
      <c r="J42" s="19">
        <v>1</v>
      </c>
      <c r="K42" s="20">
        <v>0</v>
      </c>
      <c r="L42" s="19">
        <v>0</v>
      </c>
      <c r="M42" s="19">
        <v>0</v>
      </c>
      <c r="N42" s="19">
        <v>0</v>
      </c>
      <c r="O42" s="19">
        <v>0</v>
      </c>
      <c r="P42" s="19">
        <v>0</v>
      </c>
      <c r="Q42" s="19">
        <v>0</v>
      </c>
      <c r="R42" s="19">
        <v>0</v>
      </c>
      <c r="S42" s="19">
        <v>0</v>
      </c>
      <c r="T42" s="19">
        <v>0</v>
      </c>
      <c r="U42" s="19">
        <v>0</v>
      </c>
      <c r="V42" s="19">
        <v>0</v>
      </c>
      <c r="W42" s="19">
        <v>0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19">
        <v>0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</row>
    <row r="43" spans="1:36" ht="16.8" x14ac:dyDescent="0.3">
      <c r="A43" s="49"/>
      <c r="B43" s="58"/>
      <c r="C43" s="37" t="s">
        <v>152</v>
      </c>
      <c r="D43" s="37"/>
      <c r="E43" s="38" t="s">
        <v>128</v>
      </c>
      <c r="F43" s="39"/>
      <c r="G43" s="19">
        <v>1</v>
      </c>
      <c r="H43" s="19">
        <v>1</v>
      </c>
      <c r="I43" s="19">
        <v>1</v>
      </c>
      <c r="J43" s="19">
        <v>1</v>
      </c>
      <c r="K43" s="20">
        <v>0</v>
      </c>
      <c r="L43" s="19">
        <v>0</v>
      </c>
      <c r="M43" s="19">
        <v>0</v>
      </c>
      <c r="N43" s="19">
        <v>0</v>
      </c>
      <c r="O43" s="19">
        <v>0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  <c r="U43" s="19">
        <v>0</v>
      </c>
      <c r="V43" s="19">
        <v>0</v>
      </c>
      <c r="W43" s="19">
        <v>0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19">
        <v>0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</row>
    <row r="44" spans="1:36" ht="16.8" x14ac:dyDescent="0.3">
      <c r="A44" s="49"/>
      <c r="B44" s="58"/>
      <c r="C44" s="37" t="s">
        <v>153</v>
      </c>
      <c r="D44" s="37"/>
      <c r="E44" s="38" t="s">
        <v>131</v>
      </c>
      <c r="F44" s="39"/>
      <c r="G44" s="19">
        <v>1</v>
      </c>
      <c r="H44" s="19">
        <v>1</v>
      </c>
      <c r="I44" s="19">
        <v>1</v>
      </c>
      <c r="J44" s="19">
        <v>1</v>
      </c>
      <c r="K44" s="20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</row>
    <row r="45" spans="1:36" ht="16.8" x14ac:dyDescent="0.3">
      <c r="A45" s="49"/>
      <c r="B45" s="59"/>
      <c r="C45" s="37" t="s">
        <v>53</v>
      </c>
      <c r="D45" s="37"/>
      <c r="E45" s="40" t="s">
        <v>54</v>
      </c>
      <c r="F45" s="40"/>
      <c r="G45" s="33">
        <v>10</v>
      </c>
      <c r="H45" s="19">
        <v>10</v>
      </c>
      <c r="I45" s="19">
        <v>10</v>
      </c>
      <c r="J45" s="19">
        <v>10</v>
      </c>
      <c r="K45" s="20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</row>
    <row r="46" spans="1:36" ht="16.8" x14ac:dyDescent="0.3">
      <c r="A46" s="49"/>
      <c r="B46" s="60" t="s">
        <v>27</v>
      </c>
      <c r="C46" s="37" t="s">
        <v>89</v>
      </c>
      <c r="D46" s="37"/>
      <c r="E46" s="40" t="s">
        <v>129</v>
      </c>
      <c r="F46" s="40"/>
      <c r="G46" s="19">
        <v>6</v>
      </c>
      <c r="H46" s="19">
        <v>4</v>
      </c>
      <c r="I46" s="19">
        <v>4</v>
      </c>
      <c r="J46" s="19">
        <v>4</v>
      </c>
      <c r="K46" s="19">
        <v>4</v>
      </c>
      <c r="L46" s="19">
        <v>6</v>
      </c>
      <c r="M46" s="20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19">
        <v>0</v>
      </c>
      <c r="AJ46" s="19">
        <v>0</v>
      </c>
    </row>
    <row r="47" spans="1:36" ht="17.399999999999999" thickBot="1" x14ac:dyDescent="0.35">
      <c r="A47" s="49"/>
      <c r="B47" s="61"/>
      <c r="C47" s="63"/>
      <c r="D47" s="64"/>
      <c r="E47" s="63"/>
      <c r="F47" s="64"/>
      <c r="G47" s="19"/>
      <c r="H47" s="19"/>
      <c r="I47" s="19"/>
      <c r="J47" s="19"/>
      <c r="K47" s="19"/>
      <c r="L47" s="19"/>
      <c r="M47" s="14">
        <v>2</v>
      </c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</row>
    <row r="48" spans="1:36" ht="16.8" x14ac:dyDescent="0.3">
      <c r="A48" s="49"/>
      <c r="B48" s="61"/>
      <c r="C48" s="37" t="s">
        <v>45</v>
      </c>
      <c r="D48" s="37"/>
      <c r="E48" s="40" t="s">
        <v>132</v>
      </c>
      <c r="F48" s="40"/>
      <c r="G48" s="19">
        <v>3</v>
      </c>
      <c r="H48" s="19">
        <v>3</v>
      </c>
      <c r="I48" s="19">
        <v>3</v>
      </c>
      <c r="J48" s="19">
        <v>3</v>
      </c>
      <c r="K48" s="19">
        <v>3</v>
      </c>
      <c r="L48" s="19">
        <v>3</v>
      </c>
      <c r="M48" s="20">
        <v>0</v>
      </c>
      <c r="N48" s="19">
        <v>0</v>
      </c>
      <c r="O48" s="19">
        <v>0</v>
      </c>
      <c r="P48" s="19">
        <v>0</v>
      </c>
      <c r="Q48" s="19">
        <v>0</v>
      </c>
      <c r="R48" s="19">
        <v>0</v>
      </c>
      <c r="S48" s="19">
        <v>0</v>
      </c>
      <c r="T48" s="19">
        <v>0</v>
      </c>
      <c r="U48" s="19">
        <v>0</v>
      </c>
      <c r="V48" s="19">
        <v>0</v>
      </c>
      <c r="W48" s="19">
        <v>0</v>
      </c>
      <c r="X48" s="19">
        <v>0</v>
      </c>
      <c r="Y48" s="19">
        <v>0</v>
      </c>
      <c r="Z48" s="19">
        <v>0</v>
      </c>
      <c r="AA48" s="19">
        <v>0</v>
      </c>
      <c r="AB48" s="19">
        <v>0</v>
      </c>
      <c r="AC48" s="19">
        <v>0</v>
      </c>
      <c r="AD48" s="19">
        <v>0</v>
      </c>
      <c r="AE48" s="19">
        <v>0</v>
      </c>
      <c r="AF48" s="19">
        <v>0</v>
      </c>
      <c r="AG48" s="19">
        <v>0</v>
      </c>
      <c r="AH48" s="19">
        <v>0</v>
      </c>
      <c r="AI48" s="19">
        <v>0</v>
      </c>
      <c r="AJ48" s="19">
        <v>0</v>
      </c>
    </row>
    <row r="49" spans="1:36" ht="16.8" x14ac:dyDescent="0.3">
      <c r="A49" s="49"/>
      <c r="B49" s="61"/>
      <c r="C49" s="37" t="s">
        <v>155</v>
      </c>
      <c r="D49" s="37"/>
      <c r="E49" s="40" t="s">
        <v>128</v>
      </c>
      <c r="F49" s="40"/>
      <c r="G49" s="19">
        <v>7</v>
      </c>
      <c r="H49" s="19">
        <v>4</v>
      </c>
      <c r="I49" s="19">
        <v>4</v>
      </c>
      <c r="J49" s="19">
        <v>4</v>
      </c>
      <c r="K49" s="19">
        <v>4</v>
      </c>
      <c r="L49" s="19">
        <v>4</v>
      </c>
      <c r="M49" s="19">
        <v>4</v>
      </c>
      <c r="N49" s="19">
        <v>4</v>
      </c>
      <c r="O49" s="20">
        <v>0</v>
      </c>
      <c r="P49" s="19">
        <v>0</v>
      </c>
      <c r="Q49" s="19">
        <v>0</v>
      </c>
      <c r="R49" s="19">
        <v>0</v>
      </c>
      <c r="S49" s="19">
        <v>0</v>
      </c>
      <c r="T49" s="19">
        <v>0</v>
      </c>
      <c r="U49" s="19">
        <v>0</v>
      </c>
      <c r="V49" s="19">
        <v>0</v>
      </c>
      <c r="W49" s="19">
        <v>0</v>
      </c>
      <c r="X49" s="19">
        <v>0</v>
      </c>
      <c r="Y49" s="19">
        <v>0</v>
      </c>
      <c r="Z49" s="19">
        <v>0</v>
      </c>
      <c r="AA49" s="19">
        <v>0</v>
      </c>
      <c r="AB49" s="19">
        <v>0</v>
      </c>
      <c r="AC49" s="19">
        <v>0</v>
      </c>
      <c r="AD49" s="19">
        <v>0</v>
      </c>
      <c r="AE49" s="19">
        <v>0</v>
      </c>
      <c r="AF49" s="19">
        <v>0</v>
      </c>
      <c r="AG49" s="19">
        <v>0</v>
      </c>
      <c r="AH49" s="19">
        <v>0</v>
      </c>
      <c r="AI49" s="19">
        <v>0</v>
      </c>
      <c r="AJ49" s="19">
        <v>0</v>
      </c>
    </row>
    <row r="50" spans="1:36" ht="16.8" x14ac:dyDescent="0.3">
      <c r="A50" s="49"/>
      <c r="B50" s="61"/>
      <c r="C50" s="63"/>
      <c r="D50" s="64"/>
      <c r="E50" s="63"/>
      <c r="F50" s="64"/>
      <c r="G50" s="19"/>
      <c r="H50" s="19"/>
      <c r="I50" s="19"/>
      <c r="J50" s="19"/>
      <c r="K50" s="19"/>
      <c r="L50" s="19"/>
      <c r="M50" s="19"/>
      <c r="N50" s="19"/>
      <c r="O50" s="12">
        <v>2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</row>
    <row r="51" spans="1:36" ht="16.8" x14ac:dyDescent="0.3">
      <c r="A51" s="49"/>
      <c r="B51" s="61"/>
      <c r="C51" s="37" t="s">
        <v>163</v>
      </c>
      <c r="D51" s="37"/>
      <c r="E51" s="40" t="s">
        <v>132</v>
      </c>
      <c r="F51" s="40"/>
      <c r="G51" s="19">
        <v>4</v>
      </c>
      <c r="H51" s="19">
        <v>4</v>
      </c>
      <c r="I51" s="19">
        <v>4</v>
      </c>
      <c r="J51" s="19">
        <v>4</v>
      </c>
      <c r="K51" s="19">
        <v>4</v>
      </c>
      <c r="L51" s="19">
        <v>4</v>
      </c>
      <c r="M51" s="19">
        <v>4</v>
      </c>
      <c r="N51" s="19">
        <v>4</v>
      </c>
      <c r="O51" s="20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</row>
    <row r="52" spans="1:36" ht="16.8" x14ac:dyDescent="0.3">
      <c r="A52" s="49"/>
      <c r="B52" s="61"/>
      <c r="C52" s="37" t="s">
        <v>156</v>
      </c>
      <c r="D52" s="37"/>
      <c r="E52" s="40" t="s">
        <v>132</v>
      </c>
      <c r="F52" s="40"/>
      <c r="G52" s="19">
        <v>6</v>
      </c>
      <c r="H52" s="19">
        <v>4</v>
      </c>
      <c r="I52" s="19">
        <v>4</v>
      </c>
      <c r="J52" s="19">
        <v>4</v>
      </c>
      <c r="K52" s="19">
        <v>4</v>
      </c>
      <c r="L52" s="19">
        <v>4</v>
      </c>
      <c r="M52" s="19">
        <v>4</v>
      </c>
      <c r="N52" s="19">
        <v>4</v>
      </c>
      <c r="O52" s="19">
        <v>4</v>
      </c>
      <c r="P52" s="19">
        <v>4</v>
      </c>
      <c r="Q52" s="20">
        <v>0</v>
      </c>
      <c r="R52" s="19">
        <v>0</v>
      </c>
      <c r="S52" s="19">
        <v>0</v>
      </c>
      <c r="T52" s="19">
        <v>0</v>
      </c>
      <c r="U52" s="19">
        <v>0</v>
      </c>
      <c r="V52" s="19">
        <v>0</v>
      </c>
      <c r="W52" s="19">
        <v>0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19">
        <v>0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J52" s="19">
        <v>0</v>
      </c>
    </row>
    <row r="53" spans="1:36" ht="16.8" x14ac:dyDescent="0.3">
      <c r="A53" s="49"/>
      <c r="B53" s="61"/>
      <c r="C53" s="63"/>
      <c r="D53" s="64"/>
      <c r="E53" s="63"/>
      <c r="F53" s="64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2"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</row>
    <row r="54" spans="1:36" ht="16.8" x14ac:dyDescent="0.3">
      <c r="A54" s="49"/>
      <c r="B54" s="61"/>
      <c r="C54" s="37" t="s">
        <v>164</v>
      </c>
      <c r="D54" s="37"/>
      <c r="E54" s="40" t="s">
        <v>132</v>
      </c>
      <c r="F54" s="40"/>
      <c r="G54" s="19">
        <v>5</v>
      </c>
      <c r="H54" s="19">
        <v>5</v>
      </c>
      <c r="I54" s="19">
        <v>5</v>
      </c>
      <c r="J54" s="19">
        <v>5</v>
      </c>
      <c r="K54" s="19">
        <v>5</v>
      </c>
      <c r="L54" s="19">
        <v>5</v>
      </c>
      <c r="M54" s="19">
        <v>5</v>
      </c>
      <c r="N54" s="19">
        <v>5</v>
      </c>
      <c r="O54" s="19">
        <v>5</v>
      </c>
      <c r="P54" s="19">
        <v>5</v>
      </c>
      <c r="Q54" s="20">
        <v>0</v>
      </c>
      <c r="R54" s="19">
        <v>0</v>
      </c>
      <c r="S54" s="19">
        <v>0</v>
      </c>
      <c r="T54" s="19">
        <v>0</v>
      </c>
      <c r="U54" s="19">
        <v>0</v>
      </c>
      <c r="V54" s="19">
        <v>0</v>
      </c>
      <c r="W54" s="19">
        <v>0</v>
      </c>
      <c r="X54" s="19">
        <v>0</v>
      </c>
      <c r="Y54" s="19">
        <v>0</v>
      </c>
      <c r="Z54" s="19">
        <v>0</v>
      </c>
      <c r="AA54" s="19">
        <v>0</v>
      </c>
      <c r="AB54" s="19">
        <v>0</v>
      </c>
      <c r="AC54" s="19">
        <v>0</v>
      </c>
      <c r="AD54" s="19">
        <v>0</v>
      </c>
      <c r="AE54" s="19">
        <v>0</v>
      </c>
      <c r="AF54" s="19">
        <v>0</v>
      </c>
      <c r="AG54" s="19">
        <v>0</v>
      </c>
      <c r="AH54" s="19">
        <v>0</v>
      </c>
      <c r="AI54" s="19">
        <v>0</v>
      </c>
      <c r="AJ54" s="19">
        <v>0</v>
      </c>
    </row>
    <row r="55" spans="1:36" ht="16.8" x14ac:dyDescent="0.3">
      <c r="A55" s="49"/>
      <c r="B55" s="61"/>
      <c r="C55" s="37" t="s">
        <v>210</v>
      </c>
      <c r="D55" s="37"/>
      <c r="E55" s="40" t="s">
        <v>132</v>
      </c>
      <c r="F55" s="40"/>
      <c r="G55" s="19">
        <v>3</v>
      </c>
      <c r="H55" s="19">
        <v>3</v>
      </c>
      <c r="I55" s="19">
        <v>3</v>
      </c>
      <c r="J55" s="19">
        <v>3</v>
      </c>
      <c r="K55" s="19">
        <v>3</v>
      </c>
      <c r="L55" s="19">
        <v>3</v>
      </c>
      <c r="M55" s="19">
        <v>3</v>
      </c>
      <c r="N55" s="19">
        <v>3</v>
      </c>
      <c r="O55" s="19">
        <v>3</v>
      </c>
      <c r="P55" s="19">
        <v>3</v>
      </c>
      <c r="Q55" s="19">
        <v>3</v>
      </c>
      <c r="R55" s="19">
        <v>3</v>
      </c>
      <c r="S55" s="20">
        <v>0</v>
      </c>
      <c r="T55" s="19">
        <v>0</v>
      </c>
      <c r="U55" s="19">
        <v>0</v>
      </c>
      <c r="V55" s="19">
        <v>0</v>
      </c>
      <c r="W55" s="19">
        <v>0</v>
      </c>
      <c r="X55" s="19">
        <v>0</v>
      </c>
      <c r="Y55" s="19">
        <v>0</v>
      </c>
      <c r="Z55" s="19">
        <v>0</v>
      </c>
      <c r="AA55" s="19">
        <v>0</v>
      </c>
      <c r="AB55" s="19">
        <v>0</v>
      </c>
      <c r="AC55" s="19">
        <v>0</v>
      </c>
      <c r="AD55" s="19">
        <v>0</v>
      </c>
      <c r="AE55" s="19">
        <v>0</v>
      </c>
      <c r="AF55" s="19">
        <v>0</v>
      </c>
      <c r="AG55" s="19">
        <v>0</v>
      </c>
      <c r="AH55" s="19">
        <v>0</v>
      </c>
      <c r="AI55" s="19">
        <v>0</v>
      </c>
      <c r="AJ55" s="19">
        <v>0</v>
      </c>
    </row>
    <row r="56" spans="1:36" ht="16.8" x14ac:dyDescent="0.3">
      <c r="A56" s="49"/>
      <c r="B56" s="61"/>
      <c r="C56" s="37" t="s">
        <v>97</v>
      </c>
      <c r="D56" s="37"/>
      <c r="E56" s="40" t="s">
        <v>132</v>
      </c>
      <c r="F56" s="40"/>
      <c r="G56" s="19">
        <v>3</v>
      </c>
      <c r="H56" s="19">
        <v>3</v>
      </c>
      <c r="I56" s="19">
        <v>3</v>
      </c>
      <c r="J56" s="19">
        <v>3</v>
      </c>
      <c r="K56" s="19">
        <v>3</v>
      </c>
      <c r="L56" s="19">
        <v>3</v>
      </c>
      <c r="M56" s="19">
        <v>3</v>
      </c>
      <c r="N56" s="19">
        <v>3</v>
      </c>
      <c r="O56" s="19">
        <v>3</v>
      </c>
      <c r="P56" s="19">
        <v>3</v>
      </c>
      <c r="Q56" s="19">
        <v>3</v>
      </c>
      <c r="R56" s="19">
        <v>3</v>
      </c>
      <c r="S56" s="20">
        <v>0</v>
      </c>
      <c r="T56" s="19">
        <v>0</v>
      </c>
      <c r="U56" s="19">
        <v>0</v>
      </c>
      <c r="V56" s="19">
        <v>0</v>
      </c>
      <c r="W56" s="19">
        <v>0</v>
      </c>
      <c r="X56" s="19">
        <v>0</v>
      </c>
      <c r="Y56" s="19">
        <v>0</v>
      </c>
      <c r="Z56" s="19">
        <v>0</v>
      </c>
      <c r="AA56" s="19">
        <v>0</v>
      </c>
      <c r="AB56" s="19">
        <v>0</v>
      </c>
      <c r="AC56" s="19">
        <v>0</v>
      </c>
      <c r="AD56" s="19">
        <v>0</v>
      </c>
      <c r="AE56" s="19">
        <v>0</v>
      </c>
      <c r="AF56" s="19">
        <v>0</v>
      </c>
      <c r="AG56" s="19">
        <v>0</v>
      </c>
      <c r="AH56" s="19">
        <v>0</v>
      </c>
      <c r="AI56" s="19">
        <v>0</v>
      </c>
      <c r="AJ56" s="19">
        <v>0</v>
      </c>
    </row>
    <row r="57" spans="1:36" ht="16.8" x14ac:dyDescent="0.3">
      <c r="A57" s="49"/>
      <c r="B57" s="61"/>
      <c r="C57" s="37" t="s">
        <v>158</v>
      </c>
      <c r="D57" s="37"/>
      <c r="E57" s="40" t="s">
        <v>132</v>
      </c>
      <c r="F57" s="40"/>
      <c r="G57" s="19">
        <v>4</v>
      </c>
      <c r="H57" s="19">
        <v>4</v>
      </c>
      <c r="I57" s="19">
        <v>4</v>
      </c>
      <c r="J57" s="19">
        <v>4</v>
      </c>
      <c r="K57" s="19">
        <v>4</v>
      </c>
      <c r="L57" s="19">
        <v>4</v>
      </c>
      <c r="M57" s="19">
        <v>4</v>
      </c>
      <c r="N57" s="19">
        <v>4</v>
      </c>
      <c r="O57" s="19">
        <v>4</v>
      </c>
      <c r="P57" s="19">
        <v>4</v>
      </c>
      <c r="Q57" s="19">
        <v>4</v>
      </c>
      <c r="R57" s="19">
        <v>4</v>
      </c>
      <c r="S57" s="19">
        <v>4</v>
      </c>
      <c r="T57" s="19">
        <v>4</v>
      </c>
      <c r="U57" s="20">
        <v>0</v>
      </c>
      <c r="V57" s="19">
        <v>0</v>
      </c>
      <c r="W57" s="19">
        <v>0</v>
      </c>
      <c r="X57" s="19">
        <v>0</v>
      </c>
      <c r="Y57" s="19">
        <v>0</v>
      </c>
      <c r="Z57" s="19">
        <v>0</v>
      </c>
      <c r="AA57" s="19">
        <v>0</v>
      </c>
      <c r="AB57" s="19">
        <v>0</v>
      </c>
      <c r="AC57" s="19">
        <v>0</v>
      </c>
      <c r="AD57" s="19">
        <v>0</v>
      </c>
      <c r="AE57" s="19">
        <v>0</v>
      </c>
      <c r="AF57" s="19">
        <v>0</v>
      </c>
      <c r="AG57" s="19">
        <v>0</v>
      </c>
      <c r="AH57" s="19">
        <v>0</v>
      </c>
      <c r="AI57" s="19">
        <v>0</v>
      </c>
      <c r="AJ57" s="19">
        <v>0</v>
      </c>
    </row>
    <row r="58" spans="1:36" ht="16.8" x14ac:dyDescent="0.3">
      <c r="A58" s="49"/>
      <c r="B58" s="61"/>
      <c r="C58" s="37" t="s">
        <v>166</v>
      </c>
      <c r="D58" s="37"/>
      <c r="E58" s="40" t="s">
        <v>132</v>
      </c>
      <c r="F58" s="40"/>
      <c r="G58" s="19">
        <v>3</v>
      </c>
      <c r="H58" s="19">
        <v>3</v>
      </c>
      <c r="I58" s="19">
        <v>3</v>
      </c>
      <c r="J58" s="19">
        <v>3</v>
      </c>
      <c r="K58" s="19">
        <v>3</v>
      </c>
      <c r="L58" s="19">
        <v>3</v>
      </c>
      <c r="M58" s="19">
        <v>3</v>
      </c>
      <c r="N58" s="19">
        <v>3</v>
      </c>
      <c r="O58" s="19">
        <v>3</v>
      </c>
      <c r="P58" s="19">
        <v>3</v>
      </c>
      <c r="Q58" s="19">
        <v>3</v>
      </c>
      <c r="R58" s="19">
        <v>3</v>
      </c>
      <c r="S58" s="19">
        <v>3</v>
      </c>
      <c r="T58" s="19">
        <v>3</v>
      </c>
      <c r="U58" s="20">
        <v>0</v>
      </c>
      <c r="V58" s="19">
        <v>0</v>
      </c>
      <c r="W58" s="19">
        <v>0</v>
      </c>
      <c r="X58" s="19">
        <v>0</v>
      </c>
      <c r="Y58" s="19">
        <v>0</v>
      </c>
      <c r="Z58" s="19">
        <v>0</v>
      </c>
      <c r="AA58" s="19">
        <v>0</v>
      </c>
      <c r="AB58" s="19">
        <v>0</v>
      </c>
      <c r="AC58" s="19">
        <v>0</v>
      </c>
      <c r="AD58" s="19">
        <v>0</v>
      </c>
      <c r="AE58" s="19">
        <v>0</v>
      </c>
      <c r="AF58" s="19">
        <v>0</v>
      </c>
      <c r="AG58" s="19">
        <v>0</v>
      </c>
      <c r="AH58" s="19">
        <v>0</v>
      </c>
      <c r="AI58" s="19">
        <v>0</v>
      </c>
      <c r="AJ58" s="19">
        <v>0</v>
      </c>
    </row>
    <row r="59" spans="1:36" ht="16.8" x14ac:dyDescent="0.3">
      <c r="A59" s="49"/>
      <c r="B59" s="61"/>
      <c r="C59" s="37" t="s">
        <v>220</v>
      </c>
      <c r="D59" s="37"/>
      <c r="E59" s="38" t="s">
        <v>132</v>
      </c>
      <c r="F59" s="39"/>
      <c r="G59" s="33">
        <v>3</v>
      </c>
      <c r="H59" s="33">
        <v>3</v>
      </c>
      <c r="I59" s="33">
        <v>3</v>
      </c>
      <c r="J59" s="33">
        <v>3</v>
      </c>
      <c r="K59" s="33">
        <v>3</v>
      </c>
      <c r="L59" s="33">
        <v>3</v>
      </c>
      <c r="M59" s="33">
        <v>3</v>
      </c>
      <c r="N59" s="33">
        <v>3</v>
      </c>
      <c r="O59" s="33">
        <v>3</v>
      </c>
      <c r="P59" s="33">
        <v>3</v>
      </c>
      <c r="Q59" s="33">
        <v>3</v>
      </c>
      <c r="R59" s="33">
        <v>3</v>
      </c>
      <c r="S59" s="33">
        <v>3</v>
      </c>
      <c r="T59" s="33">
        <v>3</v>
      </c>
      <c r="U59" s="33">
        <v>3</v>
      </c>
      <c r="V59" s="33">
        <v>3</v>
      </c>
      <c r="W59" s="20">
        <v>0</v>
      </c>
      <c r="X59" s="19">
        <v>0</v>
      </c>
      <c r="Y59" s="19">
        <v>0</v>
      </c>
      <c r="Z59" s="19">
        <v>0</v>
      </c>
      <c r="AA59" s="19">
        <v>0</v>
      </c>
      <c r="AB59" s="19">
        <v>0</v>
      </c>
      <c r="AC59" s="19">
        <v>0</v>
      </c>
      <c r="AD59" s="19">
        <v>0</v>
      </c>
      <c r="AE59" s="19">
        <v>0</v>
      </c>
      <c r="AF59" s="19">
        <v>0</v>
      </c>
      <c r="AG59" s="19">
        <v>0</v>
      </c>
      <c r="AH59" s="19">
        <v>0</v>
      </c>
      <c r="AI59" s="19">
        <v>0</v>
      </c>
      <c r="AJ59" s="19">
        <v>0</v>
      </c>
    </row>
    <row r="60" spans="1:36" ht="16.8" x14ac:dyDescent="0.3">
      <c r="A60" s="49"/>
      <c r="B60" s="61"/>
      <c r="C60" s="37" t="s">
        <v>221</v>
      </c>
      <c r="D60" s="37"/>
      <c r="E60" s="38" t="s">
        <v>132</v>
      </c>
      <c r="F60" s="39"/>
      <c r="G60" s="19">
        <v>3</v>
      </c>
      <c r="H60" s="19">
        <v>3</v>
      </c>
      <c r="I60" s="19">
        <v>3</v>
      </c>
      <c r="J60" s="19">
        <v>3</v>
      </c>
      <c r="K60" s="19">
        <v>3</v>
      </c>
      <c r="L60" s="19">
        <v>3</v>
      </c>
      <c r="M60" s="19">
        <v>3</v>
      </c>
      <c r="N60" s="19">
        <v>3</v>
      </c>
      <c r="O60" s="19">
        <v>3</v>
      </c>
      <c r="P60" s="19">
        <v>3</v>
      </c>
      <c r="Q60" s="19">
        <v>3</v>
      </c>
      <c r="R60" s="19">
        <v>3</v>
      </c>
      <c r="S60" s="19">
        <v>3</v>
      </c>
      <c r="T60" s="19">
        <v>3</v>
      </c>
      <c r="U60" s="19">
        <v>3</v>
      </c>
      <c r="V60" s="19">
        <v>3</v>
      </c>
      <c r="W60" s="20">
        <v>0</v>
      </c>
      <c r="X60" s="19">
        <v>0</v>
      </c>
      <c r="Y60" s="19">
        <v>0</v>
      </c>
      <c r="Z60" s="19">
        <v>0</v>
      </c>
      <c r="AA60" s="19">
        <v>0</v>
      </c>
      <c r="AB60" s="19">
        <v>0</v>
      </c>
      <c r="AC60" s="19">
        <v>0</v>
      </c>
      <c r="AD60" s="19">
        <v>0</v>
      </c>
      <c r="AE60" s="19">
        <v>0</v>
      </c>
      <c r="AF60" s="19">
        <v>0</v>
      </c>
      <c r="AG60" s="19">
        <v>0</v>
      </c>
      <c r="AH60" s="19">
        <v>0</v>
      </c>
      <c r="AI60" s="19">
        <v>0</v>
      </c>
      <c r="AJ60" s="19">
        <v>0</v>
      </c>
    </row>
    <row r="61" spans="1:36" ht="16.8" x14ac:dyDescent="0.3">
      <c r="A61" s="49"/>
      <c r="B61" s="61"/>
      <c r="C61" s="37" t="s">
        <v>214</v>
      </c>
      <c r="D61" s="37"/>
      <c r="E61" s="40" t="s">
        <v>132</v>
      </c>
      <c r="F61" s="40"/>
      <c r="G61" s="19">
        <v>5</v>
      </c>
      <c r="H61" s="19">
        <v>3</v>
      </c>
      <c r="I61" s="19">
        <v>3</v>
      </c>
      <c r="J61" s="19">
        <v>3</v>
      </c>
      <c r="K61" s="19">
        <v>3</v>
      </c>
      <c r="L61" s="19">
        <v>3</v>
      </c>
      <c r="M61" s="19">
        <v>3</v>
      </c>
      <c r="N61" s="19">
        <v>3</v>
      </c>
      <c r="O61" s="19">
        <v>3</v>
      </c>
      <c r="P61" s="19">
        <v>3</v>
      </c>
      <c r="Q61" s="19">
        <v>3</v>
      </c>
      <c r="R61" s="19">
        <v>3</v>
      </c>
      <c r="S61" s="19">
        <v>3</v>
      </c>
      <c r="T61" s="19">
        <v>3</v>
      </c>
      <c r="U61" s="19">
        <v>3</v>
      </c>
      <c r="V61" s="19">
        <v>3</v>
      </c>
      <c r="W61" s="19">
        <v>3</v>
      </c>
      <c r="X61" s="19">
        <v>3</v>
      </c>
      <c r="Y61" s="20">
        <v>0</v>
      </c>
      <c r="Z61" s="19">
        <v>0</v>
      </c>
      <c r="AA61" s="19">
        <v>0</v>
      </c>
      <c r="AB61" s="19">
        <v>0</v>
      </c>
      <c r="AC61" s="19">
        <v>0</v>
      </c>
      <c r="AD61" s="19">
        <v>0</v>
      </c>
      <c r="AE61" s="19">
        <v>0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</row>
    <row r="62" spans="1:36" ht="16.8" x14ac:dyDescent="0.3">
      <c r="A62" s="49"/>
      <c r="B62" s="61"/>
      <c r="C62" s="63"/>
      <c r="D62" s="64"/>
      <c r="E62" s="63"/>
      <c r="F62" s="64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2">
        <v>2</v>
      </c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</row>
    <row r="63" spans="1:36" ht="16.8" x14ac:dyDescent="0.3">
      <c r="A63" s="49"/>
      <c r="B63" s="61"/>
      <c r="C63" s="37" t="s">
        <v>215</v>
      </c>
      <c r="D63" s="37"/>
      <c r="E63" s="40" t="s">
        <v>132</v>
      </c>
      <c r="F63" s="40"/>
      <c r="G63" s="19">
        <v>5</v>
      </c>
      <c r="H63" s="19">
        <v>5</v>
      </c>
      <c r="I63" s="19">
        <v>5</v>
      </c>
      <c r="J63" s="19">
        <v>5</v>
      </c>
      <c r="K63" s="19">
        <v>5</v>
      </c>
      <c r="L63" s="19">
        <v>5</v>
      </c>
      <c r="M63" s="19">
        <v>5</v>
      </c>
      <c r="N63" s="19">
        <v>5</v>
      </c>
      <c r="O63" s="19">
        <v>5</v>
      </c>
      <c r="P63" s="19">
        <v>5</v>
      </c>
      <c r="Q63" s="19">
        <v>5</v>
      </c>
      <c r="R63" s="19">
        <v>5</v>
      </c>
      <c r="S63" s="19">
        <v>5</v>
      </c>
      <c r="T63" s="19">
        <v>5</v>
      </c>
      <c r="U63" s="19">
        <v>5</v>
      </c>
      <c r="V63" s="19">
        <v>5</v>
      </c>
      <c r="W63" s="19">
        <v>5</v>
      </c>
      <c r="X63" s="19">
        <v>5</v>
      </c>
      <c r="Y63" s="20">
        <v>0</v>
      </c>
      <c r="Z63" s="19">
        <v>0</v>
      </c>
      <c r="AA63" s="19">
        <v>0</v>
      </c>
      <c r="AB63" s="19">
        <v>0</v>
      </c>
      <c r="AC63" s="19">
        <v>0</v>
      </c>
      <c r="AD63" s="19">
        <v>0</v>
      </c>
      <c r="AE63" s="19">
        <v>0</v>
      </c>
      <c r="AF63" s="19">
        <v>0</v>
      </c>
      <c r="AG63" s="19">
        <v>0</v>
      </c>
      <c r="AH63" s="19">
        <v>0</v>
      </c>
      <c r="AI63" s="19">
        <v>0</v>
      </c>
      <c r="AJ63" s="19">
        <v>0</v>
      </c>
    </row>
    <row r="64" spans="1:36" ht="16.8" x14ac:dyDescent="0.3">
      <c r="A64" s="49"/>
      <c r="B64" s="61"/>
      <c r="C64" s="37" t="s">
        <v>159</v>
      </c>
      <c r="D64" s="37"/>
      <c r="E64" s="40" t="s">
        <v>132</v>
      </c>
      <c r="F64" s="40"/>
      <c r="G64" s="19">
        <v>4</v>
      </c>
      <c r="H64" s="19">
        <v>4</v>
      </c>
      <c r="I64" s="19">
        <v>4</v>
      </c>
      <c r="J64" s="19">
        <v>4</v>
      </c>
      <c r="K64" s="19">
        <v>4</v>
      </c>
      <c r="L64" s="19">
        <v>4</v>
      </c>
      <c r="M64" s="19">
        <v>4</v>
      </c>
      <c r="N64" s="19">
        <v>4</v>
      </c>
      <c r="O64" s="19">
        <v>4</v>
      </c>
      <c r="P64" s="19">
        <v>4</v>
      </c>
      <c r="Q64" s="19">
        <v>4</v>
      </c>
      <c r="R64" s="19">
        <v>4</v>
      </c>
      <c r="S64" s="19">
        <v>4</v>
      </c>
      <c r="T64" s="19">
        <v>4</v>
      </c>
      <c r="U64" s="19">
        <v>4</v>
      </c>
      <c r="V64" s="19">
        <v>4</v>
      </c>
      <c r="W64" s="19">
        <v>4</v>
      </c>
      <c r="X64" s="19">
        <v>4</v>
      </c>
      <c r="Y64" s="19">
        <v>4</v>
      </c>
      <c r="Z64" s="19">
        <v>4</v>
      </c>
      <c r="AA64" s="20">
        <v>0</v>
      </c>
      <c r="AB64" s="19">
        <v>0</v>
      </c>
      <c r="AC64" s="19">
        <v>0</v>
      </c>
      <c r="AD64" s="19">
        <v>0</v>
      </c>
      <c r="AE64" s="19">
        <v>0</v>
      </c>
      <c r="AF64" s="19">
        <v>0</v>
      </c>
      <c r="AG64" s="19">
        <v>0</v>
      </c>
      <c r="AH64" s="19">
        <v>0</v>
      </c>
      <c r="AI64" s="19">
        <v>0</v>
      </c>
      <c r="AJ64" s="19">
        <v>0</v>
      </c>
    </row>
    <row r="65" spans="1:36" ht="16.8" x14ac:dyDescent="0.3">
      <c r="A65" s="49"/>
      <c r="B65" s="61"/>
      <c r="C65" s="37" t="s">
        <v>167</v>
      </c>
      <c r="D65" s="37"/>
      <c r="E65" s="40" t="s">
        <v>132</v>
      </c>
      <c r="F65" s="40"/>
      <c r="G65" s="19">
        <v>4</v>
      </c>
      <c r="H65" s="19">
        <v>4</v>
      </c>
      <c r="I65" s="19">
        <v>4</v>
      </c>
      <c r="J65" s="19">
        <v>4</v>
      </c>
      <c r="K65" s="19">
        <v>4</v>
      </c>
      <c r="L65" s="19">
        <v>4</v>
      </c>
      <c r="M65" s="19">
        <v>4</v>
      </c>
      <c r="N65" s="19">
        <v>4</v>
      </c>
      <c r="O65" s="19">
        <v>4</v>
      </c>
      <c r="P65" s="19">
        <v>4</v>
      </c>
      <c r="Q65" s="19">
        <v>4</v>
      </c>
      <c r="R65" s="19">
        <v>4</v>
      </c>
      <c r="S65" s="19">
        <v>4</v>
      </c>
      <c r="T65" s="19">
        <v>4</v>
      </c>
      <c r="U65" s="19">
        <v>4</v>
      </c>
      <c r="V65" s="19">
        <v>4</v>
      </c>
      <c r="W65" s="19">
        <v>4</v>
      </c>
      <c r="X65" s="19">
        <v>4</v>
      </c>
      <c r="Y65" s="19">
        <v>4</v>
      </c>
      <c r="Z65" s="19">
        <v>4</v>
      </c>
      <c r="AA65" s="20">
        <v>0</v>
      </c>
      <c r="AB65" s="19">
        <v>0</v>
      </c>
      <c r="AC65" s="19">
        <v>0</v>
      </c>
      <c r="AD65" s="19">
        <v>0</v>
      </c>
      <c r="AE65" s="19">
        <v>0</v>
      </c>
      <c r="AF65" s="19">
        <v>0</v>
      </c>
      <c r="AG65" s="19">
        <v>0</v>
      </c>
      <c r="AH65" s="19">
        <v>0</v>
      </c>
      <c r="AI65" s="19">
        <v>0</v>
      </c>
      <c r="AJ65" s="19">
        <v>0</v>
      </c>
    </row>
    <row r="66" spans="1:36" ht="16.8" x14ac:dyDescent="0.3">
      <c r="A66" s="49"/>
      <c r="B66" s="61"/>
      <c r="C66" s="37" t="s">
        <v>160</v>
      </c>
      <c r="D66" s="37"/>
      <c r="E66" s="40" t="s">
        <v>132</v>
      </c>
      <c r="F66" s="40"/>
      <c r="G66" s="19">
        <v>3</v>
      </c>
      <c r="H66" s="19">
        <v>3</v>
      </c>
      <c r="I66" s="19">
        <v>3</v>
      </c>
      <c r="J66" s="19">
        <v>3</v>
      </c>
      <c r="K66" s="19">
        <v>3</v>
      </c>
      <c r="L66" s="19">
        <v>3</v>
      </c>
      <c r="M66" s="19">
        <v>3</v>
      </c>
      <c r="N66" s="19">
        <v>3</v>
      </c>
      <c r="O66" s="19">
        <v>3</v>
      </c>
      <c r="P66" s="19">
        <v>3</v>
      </c>
      <c r="Q66" s="19">
        <v>3</v>
      </c>
      <c r="R66" s="19">
        <v>3</v>
      </c>
      <c r="S66" s="19">
        <v>3</v>
      </c>
      <c r="T66" s="19">
        <v>3</v>
      </c>
      <c r="U66" s="19">
        <v>3</v>
      </c>
      <c r="V66" s="19">
        <v>3</v>
      </c>
      <c r="W66" s="19">
        <v>3</v>
      </c>
      <c r="X66" s="19">
        <v>3</v>
      </c>
      <c r="Y66" s="19">
        <v>3</v>
      </c>
      <c r="Z66" s="19">
        <v>3</v>
      </c>
      <c r="AA66" s="19">
        <v>3</v>
      </c>
      <c r="AB66" s="19">
        <v>3</v>
      </c>
      <c r="AC66" s="20">
        <v>0</v>
      </c>
      <c r="AD66" s="19">
        <v>0</v>
      </c>
      <c r="AE66" s="19">
        <v>0</v>
      </c>
      <c r="AF66" s="19">
        <v>0</v>
      </c>
      <c r="AG66" s="19">
        <v>0</v>
      </c>
      <c r="AH66" s="19">
        <v>0</v>
      </c>
      <c r="AI66" s="19">
        <v>0</v>
      </c>
      <c r="AJ66" s="19">
        <v>0</v>
      </c>
    </row>
    <row r="67" spans="1:36" ht="16.8" x14ac:dyDescent="0.3">
      <c r="A67" s="49"/>
      <c r="B67" s="61"/>
      <c r="C67" s="37" t="s">
        <v>168</v>
      </c>
      <c r="D67" s="37"/>
      <c r="E67" s="40" t="s">
        <v>132</v>
      </c>
      <c r="F67" s="40"/>
      <c r="G67" s="19">
        <v>2</v>
      </c>
      <c r="H67" s="19">
        <v>2</v>
      </c>
      <c r="I67" s="19">
        <v>2</v>
      </c>
      <c r="J67" s="19">
        <v>2</v>
      </c>
      <c r="K67" s="19">
        <v>2</v>
      </c>
      <c r="L67" s="19">
        <v>2</v>
      </c>
      <c r="M67" s="19">
        <v>2</v>
      </c>
      <c r="N67" s="19">
        <v>2</v>
      </c>
      <c r="O67" s="19">
        <v>2</v>
      </c>
      <c r="P67" s="19">
        <v>2</v>
      </c>
      <c r="Q67" s="19">
        <v>2</v>
      </c>
      <c r="R67" s="19">
        <v>2</v>
      </c>
      <c r="S67" s="19">
        <v>2</v>
      </c>
      <c r="T67" s="19">
        <v>2</v>
      </c>
      <c r="U67" s="19">
        <v>2</v>
      </c>
      <c r="V67" s="19">
        <v>2</v>
      </c>
      <c r="W67" s="19">
        <v>2</v>
      </c>
      <c r="X67" s="19">
        <v>2</v>
      </c>
      <c r="Y67" s="19">
        <v>2</v>
      </c>
      <c r="Z67" s="19">
        <v>2</v>
      </c>
      <c r="AA67" s="19">
        <v>2</v>
      </c>
      <c r="AB67" s="19">
        <v>2</v>
      </c>
      <c r="AC67" s="20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</row>
    <row r="68" spans="1:36" ht="16.8" x14ac:dyDescent="0.3">
      <c r="A68" s="49"/>
      <c r="B68" s="61"/>
      <c r="C68" s="37" t="s">
        <v>161</v>
      </c>
      <c r="D68" s="37"/>
      <c r="E68" s="38" t="s">
        <v>136</v>
      </c>
      <c r="F68" s="39"/>
      <c r="G68" s="19">
        <v>2</v>
      </c>
      <c r="H68" s="19">
        <v>2</v>
      </c>
      <c r="I68" s="19">
        <v>2</v>
      </c>
      <c r="J68" s="19">
        <v>2</v>
      </c>
      <c r="K68" s="19">
        <v>2</v>
      </c>
      <c r="L68" s="19">
        <v>2</v>
      </c>
      <c r="M68" s="19">
        <v>2</v>
      </c>
      <c r="N68" s="19">
        <v>2</v>
      </c>
      <c r="O68" s="19">
        <v>2</v>
      </c>
      <c r="P68" s="19">
        <v>2</v>
      </c>
      <c r="Q68" s="19">
        <v>2</v>
      </c>
      <c r="R68" s="19">
        <v>2</v>
      </c>
      <c r="S68" s="19">
        <v>2</v>
      </c>
      <c r="T68" s="19">
        <v>2</v>
      </c>
      <c r="U68" s="19">
        <v>2</v>
      </c>
      <c r="V68" s="19">
        <v>2</v>
      </c>
      <c r="W68" s="19">
        <v>2</v>
      </c>
      <c r="X68" s="19">
        <v>2</v>
      </c>
      <c r="Y68" s="19">
        <v>2</v>
      </c>
      <c r="Z68" s="19">
        <v>2</v>
      </c>
      <c r="AA68" s="19">
        <v>2</v>
      </c>
      <c r="AB68" s="19">
        <v>2</v>
      </c>
      <c r="AC68" s="19">
        <v>2</v>
      </c>
      <c r="AD68" s="20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</row>
    <row r="69" spans="1:36" ht="16.8" x14ac:dyDescent="0.3">
      <c r="A69" s="49"/>
      <c r="B69" s="61"/>
      <c r="C69" s="37" t="s">
        <v>169</v>
      </c>
      <c r="D69" s="37"/>
      <c r="E69" s="38" t="s">
        <v>132</v>
      </c>
      <c r="F69" s="39"/>
      <c r="G69" s="19">
        <v>2</v>
      </c>
      <c r="H69" s="19">
        <v>3</v>
      </c>
      <c r="I69" s="19">
        <v>2</v>
      </c>
      <c r="J69" s="19">
        <v>2</v>
      </c>
      <c r="K69" s="19">
        <v>2</v>
      </c>
      <c r="L69" s="19">
        <v>2</v>
      </c>
      <c r="M69" s="19">
        <v>2</v>
      </c>
      <c r="N69" s="19">
        <v>2</v>
      </c>
      <c r="O69" s="19">
        <v>2</v>
      </c>
      <c r="P69" s="19">
        <v>2</v>
      </c>
      <c r="Q69" s="19">
        <v>2</v>
      </c>
      <c r="R69" s="19">
        <v>2</v>
      </c>
      <c r="S69" s="19">
        <v>2</v>
      </c>
      <c r="T69" s="19">
        <v>2</v>
      </c>
      <c r="U69" s="19">
        <v>2</v>
      </c>
      <c r="V69" s="19">
        <v>2</v>
      </c>
      <c r="W69" s="19">
        <v>2</v>
      </c>
      <c r="X69" s="19">
        <v>2</v>
      </c>
      <c r="Y69" s="19">
        <v>2</v>
      </c>
      <c r="Z69" s="19">
        <v>2</v>
      </c>
      <c r="AA69" s="19">
        <v>2</v>
      </c>
      <c r="AB69" s="19">
        <v>2</v>
      </c>
      <c r="AC69" s="19">
        <v>2</v>
      </c>
      <c r="AD69" s="20">
        <v>0</v>
      </c>
      <c r="AE69" s="33">
        <v>0</v>
      </c>
      <c r="AF69" s="19">
        <v>0</v>
      </c>
      <c r="AG69" s="19">
        <v>0</v>
      </c>
      <c r="AH69" s="19">
        <v>0</v>
      </c>
      <c r="AI69" s="19">
        <v>0</v>
      </c>
      <c r="AJ69" s="19">
        <v>0</v>
      </c>
    </row>
    <row r="70" spans="1:36" ht="17.399999999999999" thickBot="1" x14ac:dyDescent="0.35">
      <c r="A70" s="49"/>
      <c r="B70" s="61"/>
      <c r="C70" s="63"/>
      <c r="D70" s="64"/>
      <c r="E70" s="63"/>
      <c r="F70" s="64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4">
        <v>1</v>
      </c>
      <c r="AE70" s="19"/>
      <c r="AF70" s="19"/>
      <c r="AG70" s="19"/>
      <c r="AH70" s="19"/>
      <c r="AI70" s="19"/>
      <c r="AJ70" s="19"/>
    </row>
    <row r="71" spans="1:36" ht="16.8" x14ac:dyDescent="0.3">
      <c r="A71" s="49"/>
      <c r="B71" s="62"/>
      <c r="C71" s="43" t="s">
        <v>26</v>
      </c>
      <c r="D71" s="44"/>
      <c r="E71" s="38" t="s">
        <v>54</v>
      </c>
      <c r="F71" s="39"/>
      <c r="G71" s="33">
        <v>10</v>
      </c>
      <c r="H71" s="33">
        <v>10</v>
      </c>
      <c r="I71" s="33">
        <v>10</v>
      </c>
      <c r="J71" s="33">
        <v>10</v>
      </c>
      <c r="K71" s="33">
        <v>10</v>
      </c>
      <c r="L71" s="33">
        <v>10</v>
      </c>
      <c r="M71" s="33">
        <v>10</v>
      </c>
      <c r="N71" s="33">
        <v>10</v>
      </c>
      <c r="O71" s="33">
        <v>10</v>
      </c>
      <c r="P71" s="33">
        <v>10</v>
      </c>
      <c r="Q71" s="33">
        <v>10</v>
      </c>
      <c r="R71" s="33">
        <v>10</v>
      </c>
      <c r="S71" s="33">
        <v>10</v>
      </c>
      <c r="T71" s="33">
        <v>10</v>
      </c>
      <c r="U71" s="33">
        <v>10</v>
      </c>
      <c r="V71" s="33">
        <v>10</v>
      </c>
      <c r="W71" s="33">
        <v>10</v>
      </c>
      <c r="X71" s="33">
        <v>10</v>
      </c>
      <c r="Y71" s="33">
        <v>10</v>
      </c>
      <c r="Z71" s="33">
        <v>10</v>
      </c>
      <c r="AA71" s="33">
        <v>10</v>
      </c>
      <c r="AB71" s="33">
        <v>10</v>
      </c>
      <c r="AC71" s="33">
        <v>10</v>
      </c>
      <c r="AD71" s="20">
        <v>0</v>
      </c>
      <c r="AE71" s="19">
        <v>0</v>
      </c>
      <c r="AF71" s="19">
        <v>0</v>
      </c>
      <c r="AG71" s="19">
        <v>0</v>
      </c>
      <c r="AH71" s="19">
        <v>0</v>
      </c>
      <c r="AI71" s="19">
        <v>0</v>
      </c>
      <c r="AJ71" s="19">
        <v>0</v>
      </c>
    </row>
    <row r="72" spans="1:36" ht="16.8" x14ac:dyDescent="0.3">
      <c r="A72" s="49"/>
      <c r="B72" s="60" t="s">
        <v>30</v>
      </c>
      <c r="C72" s="37" t="s">
        <v>46</v>
      </c>
      <c r="D72" s="37"/>
      <c r="E72" s="40" t="s">
        <v>128</v>
      </c>
      <c r="F72" s="40"/>
      <c r="G72" s="19">
        <v>2</v>
      </c>
      <c r="H72" s="19">
        <v>3</v>
      </c>
      <c r="I72" s="19">
        <v>3</v>
      </c>
      <c r="J72" s="19">
        <v>3</v>
      </c>
      <c r="K72" s="19">
        <v>3</v>
      </c>
      <c r="L72" s="19">
        <v>3</v>
      </c>
      <c r="M72" s="19">
        <v>3</v>
      </c>
      <c r="N72" s="19">
        <v>3</v>
      </c>
      <c r="O72" s="19">
        <v>3</v>
      </c>
      <c r="P72" s="19">
        <v>3</v>
      </c>
      <c r="Q72" s="19">
        <v>3</v>
      </c>
      <c r="R72" s="19">
        <v>3</v>
      </c>
      <c r="S72" s="19">
        <v>3</v>
      </c>
      <c r="T72" s="19">
        <v>3</v>
      </c>
      <c r="U72" s="19">
        <v>3</v>
      </c>
      <c r="V72" s="19">
        <v>3</v>
      </c>
      <c r="W72" s="19">
        <v>3</v>
      </c>
      <c r="X72" s="19">
        <v>3</v>
      </c>
      <c r="Y72" s="19">
        <v>3</v>
      </c>
      <c r="Z72" s="19">
        <v>3</v>
      </c>
      <c r="AA72" s="19">
        <v>3</v>
      </c>
      <c r="AB72" s="19">
        <v>3</v>
      </c>
      <c r="AC72" s="19">
        <v>3</v>
      </c>
      <c r="AD72" s="19">
        <v>2</v>
      </c>
      <c r="AE72" s="20">
        <v>0</v>
      </c>
      <c r="AF72" s="19">
        <v>0</v>
      </c>
      <c r="AG72" s="19">
        <v>0</v>
      </c>
      <c r="AH72" s="19">
        <v>0</v>
      </c>
      <c r="AI72" s="19">
        <v>0</v>
      </c>
      <c r="AJ72" s="19">
        <v>0</v>
      </c>
    </row>
    <row r="73" spans="1:36" ht="17.399999999999999" thickBot="1" x14ac:dyDescent="0.35">
      <c r="A73" s="49"/>
      <c r="B73" s="61"/>
      <c r="C73" s="63"/>
      <c r="D73" s="64"/>
      <c r="E73" s="63"/>
      <c r="F73" s="64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4">
        <v>1</v>
      </c>
      <c r="AF73" s="19"/>
      <c r="AG73" s="19"/>
      <c r="AH73" s="19"/>
      <c r="AI73" s="19"/>
      <c r="AJ73" s="19"/>
    </row>
    <row r="74" spans="1:36" ht="16.8" x14ac:dyDescent="0.3">
      <c r="A74" s="49"/>
      <c r="B74" s="61"/>
      <c r="C74" s="37" t="s">
        <v>171</v>
      </c>
      <c r="D74" s="37"/>
      <c r="E74" s="40" t="s">
        <v>129</v>
      </c>
      <c r="F74" s="40"/>
      <c r="G74" s="19">
        <v>3</v>
      </c>
      <c r="H74" s="19">
        <v>3</v>
      </c>
      <c r="I74" s="19">
        <v>3</v>
      </c>
      <c r="J74" s="19">
        <v>3</v>
      </c>
      <c r="K74" s="19">
        <v>3</v>
      </c>
      <c r="L74" s="19">
        <v>3</v>
      </c>
      <c r="M74" s="19">
        <v>3</v>
      </c>
      <c r="N74" s="19">
        <v>3</v>
      </c>
      <c r="O74" s="19">
        <v>3</v>
      </c>
      <c r="P74" s="19">
        <v>3</v>
      </c>
      <c r="Q74" s="19">
        <v>3</v>
      </c>
      <c r="R74" s="19">
        <v>3</v>
      </c>
      <c r="S74" s="19">
        <v>3</v>
      </c>
      <c r="T74" s="19">
        <v>3</v>
      </c>
      <c r="U74" s="19">
        <v>3</v>
      </c>
      <c r="V74" s="19">
        <v>3</v>
      </c>
      <c r="W74" s="19">
        <v>3</v>
      </c>
      <c r="X74" s="19">
        <v>3</v>
      </c>
      <c r="Y74" s="19">
        <v>3</v>
      </c>
      <c r="Z74" s="19">
        <v>3</v>
      </c>
      <c r="AA74" s="19">
        <v>3</v>
      </c>
      <c r="AB74" s="19">
        <v>3</v>
      </c>
      <c r="AC74" s="19">
        <v>3</v>
      </c>
      <c r="AD74" s="19">
        <v>3</v>
      </c>
      <c r="AE74" s="20">
        <v>0</v>
      </c>
      <c r="AF74" s="19">
        <v>0</v>
      </c>
      <c r="AG74" s="19">
        <v>0</v>
      </c>
      <c r="AH74" s="19">
        <v>0</v>
      </c>
      <c r="AI74" s="19">
        <v>0</v>
      </c>
      <c r="AJ74" s="19">
        <v>0</v>
      </c>
    </row>
    <row r="75" spans="1:36" ht="16.8" x14ac:dyDescent="0.3">
      <c r="A75" s="49"/>
      <c r="B75" s="61"/>
      <c r="C75" s="37" t="s">
        <v>172</v>
      </c>
      <c r="D75" s="37"/>
      <c r="E75" s="40" t="s">
        <v>130</v>
      </c>
      <c r="F75" s="40"/>
      <c r="G75" s="19">
        <v>4</v>
      </c>
      <c r="H75" s="19">
        <v>4</v>
      </c>
      <c r="I75" s="19">
        <v>4</v>
      </c>
      <c r="J75" s="19">
        <v>4</v>
      </c>
      <c r="K75" s="19">
        <v>4</v>
      </c>
      <c r="L75" s="19">
        <v>4</v>
      </c>
      <c r="M75" s="19">
        <v>4</v>
      </c>
      <c r="N75" s="19">
        <v>4</v>
      </c>
      <c r="O75" s="19">
        <v>4</v>
      </c>
      <c r="P75" s="19">
        <v>4</v>
      </c>
      <c r="Q75" s="19">
        <v>4</v>
      </c>
      <c r="R75" s="19">
        <v>4</v>
      </c>
      <c r="S75" s="19">
        <v>4</v>
      </c>
      <c r="T75" s="19">
        <v>4</v>
      </c>
      <c r="U75" s="19">
        <v>4</v>
      </c>
      <c r="V75" s="19">
        <v>4</v>
      </c>
      <c r="W75" s="19">
        <v>4</v>
      </c>
      <c r="X75" s="19">
        <v>4</v>
      </c>
      <c r="Y75" s="19">
        <v>4</v>
      </c>
      <c r="Z75" s="19">
        <v>4</v>
      </c>
      <c r="AA75" s="19">
        <v>4</v>
      </c>
      <c r="AB75" s="19">
        <v>4</v>
      </c>
      <c r="AC75" s="19">
        <v>4</v>
      </c>
      <c r="AD75" s="19">
        <v>4</v>
      </c>
      <c r="AE75" s="20">
        <v>0</v>
      </c>
      <c r="AF75" s="19">
        <v>0</v>
      </c>
      <c r="AG75" s="19">
        <v>0</v>
      </c>
      <c r="AH75" s="19">
        <v>0</v>
      </c>
      <c r="AI75" s="19">
        <v>0</v>
      </c>
      <c r="AJ75" s="19">
        <v>0</v>
      </c>
    </row>
    <row r="76" spans="1:36" ht="16.8" x14ac:dyDescent="0.3">
      <c r="A76" s="49"/>
      <c r="B76" s="61"/>
      <c r="C76" s="37" t="s">
        <v>104</v>
      </c>
      <c r="D76" s="37"/>
      <c r="E76" s="40" t="s">
        <v>131</v>
      </c>
      <c r="F76" s="40"/>
      <c r="G76" s="19">
        <v>2</v>
      </c>
      <c r="H76" s="19">
        <v>2</v>
      </c>
      <c r="I76" s="19">
        <v>2</v>
      </c>
      <c r="J76" s="19">
        <v>2</v>
      </c>
      <c r="K76" s="19">
        <v>2</v>
      </c>
      <c r="L76" s="19">
        <v>2</v>
      </c>
      <c r="M76" s="19">
        <v>2</v>
      </c>
      <c r="N76" s="19">
        <v>2</v>
      </c>
      <c r="O76" s="19">
        <v>2</v>
      </c>
      <c r="P76" s="19">
        <v>2</v>
      </c>
      <c r="Q76" s="19">
        <v>2</v>
      </c>
      <c r="R76" s="19">
        <v>2</v>
      </c>
      <c r="S76" s="19">
        <v>2</v>
      </c>
      <c r="T76" s="19">
        <v>2</v>
      </c>
      <c r="U76" s="19">
        <v>2</v>
      </c>
      <c r="V76" s="19">
        <v>2</v>
      </c>
      <c r="W76" s="19">
        <v>2</v>
      </c>
      <c r="X76" s="19">
        <v>2</v>
      </c>
      <c r="Y76" s="19">
        <v>2</v>
      </c>
      <c r="Z76" s="19">
        <v>2</v>
      </c>
      <c r="AA76" s="19">
        <v>2</v>
      </c>
      <c r="AB76" s="19">
        <v>2</v>
      </c>
      <c r="AC76" s="19">
        <v>2</v>
      </c>
      <c r="AD76" s="19">
        <v>2</v>
      </c>
      <c r="AE76" s="20">
        <v>0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</row>
    <row r="77" spans="1:36" ht="16.8" x14ac:dyDescent="0.3">
      <c r="A77" s="49"/>
      <c r="B77" s="61"/>
      <c r="C77" s="37" t="s">
        <v>174</v>
      </c>
      <c r="D77" s="37"/>
      <c r="E77" s="40" t="s">
        <v>130</v>
      </c>
      <c r="F77" s="40"/>
      <c r="G77" s="19">
        <v>2</v>
      </c>
      <c r="H77" s="19">
        <v>3</v>
      </c>
      <c r="I77" s="19">
        <v>3</v>
      </c>
      <c r="J77" s="19">
        <v>3</v>
      </c>
      <c r="K77" s="19">
        <v>3</v>
      </c>
      <c r="L77" s="19">
        <v>3</v>
      </c>
      <c r="M77" s="19">
        <v>3</v>
      </c>
      <c r="N77" s="19">
        <v>3</v>
      </c>
      <c r="O77" s="19">
        <v>3</v>
      </c>
      <c r="P77" s="19">
        <v>3</v>
      </c>
      <c r="Q77" s="19">
        <v>3</v>
      </c>
      <c r="R77" s="19">
        <v>3</v>
      </c>
      <c r="S77" s="19">
        <v>3</v>
      </c>
      <c r="T77" s="19">
        <v>3</v>
      </c>
      <c r="U77" s="19">
        <v>3</v>
      </c>
      <c r="V77" s="19">
        <v>3</v>
      </c>
      <c r="W77" s="19">
        <v>3</v>
      </c>
      <c r="X77" s="19">
        <v>3</v>
      </c>
      <c r="Y77" s="19">
        <v>3</v>
      </c>
      <c r="Z77" s="19">
        <v>3</v>
      </c>
      <c r="AA77" s="19">
        <v>3</v>
      </c>
      <c r="AB77" s="19">
        <v>3</v>
      </c>
      <c r="AC77" s="19">
        <v>3</v>
      </c>
      <c r="AD77" s="19">
        <v>3</v>
      </c>
      <c r="AE77" s="20">
        <v>0</v>
      </c>
      <c r="AF77" s="33">
        <v>0</v>
      </c>
      <c r="AG77" s="19">
        <v>0</v>
      </c>
      <c r="AH77" s="19">
        <v>0</v>
      </c>
      <c r="AI77" s="19">
        <v>0</v>
      </c>
      <c r="AJ77" s="19">
        <v>0</v>
      </c>
    </row>
    <row r="78" spans="1:36" ht="16.8" x14ac:dyDescent="0.3">
      <c r="A78" s="49"/>
      <c r="B78" s="61"/>
      <c r="C78" s="63"/>
      <c r="D78" s="64"/>
      <c r="E78" s="63"/>
      <c r="F78" s="64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2">
        <v>1</v>
      </c>
      <c r="AF78" s="19"/>
      <c r="AG78" s="19"/>
      <c r="AH78" s="19"/>
      <c r="AI78" s="19"/>
      <c r="AJ78" s="19"/>
    </row>
    <row r="79" spans="1:36" ht="16.8" x14ac:dyDescent="0.3">
      <c r="A79" s="49"/>
      <c r="B79" s="61"/>
      <c r="C79" s="37" t="s">
        <v>222</v>
      </c>
      <c r="D79" s="37"/>
      <c r="E79" s="38" t="s">
        <v>129</v>
      </c>
      <c r="F79" s="39"/>
      <c r="G79" s="33">
        <v>2</v>
      </c>
      <c r="H79" s="19">
        <v>2</v>
      </c>
      <c r="I79" s="19">
        <v>2</v>
      </c>
      <c r="J79" s="19">
        <v>2</v>
      </c>
      <c r="K79" s="19">
        <v>2</v>
      </c>
      <c r="L79" s="19">
        <v>2</v>
      </c>
      <c r="M79" s="19">
        <v>2</v>
      </c>
      <c r="N79" s="19">
        <v>2</v>
      </c>
      <c r="O79" s="19">
        <v>2</v>
      </c>
      <c r="P79" s="19">
        <v>2</v>
      </c>
      <c r="Q79" s="19">
        <v>2</v>
      </c>
      <c r="R79" s="19">
        <v>2</v>
      </c>
      <c r="S79" s="19">
        <v>2</v>
      </c>
      <c r="T79" s="19">
        <v>2</v>
      </c>
      <c r="U79" s="19">
        <v>2</v>
      </c>
      <c r="V79" s="19">
        <v>2</v>
      </c>
      <c r="W79" s="19">
        <v>2</v>
      </c>
      <c r="X79" s="19">
        <v>2</v>
      </c>
      <c r="Y79" s="19">
        <v>2</v>
      </c>
      <c r="Z79" s="19">
        <v>2</v>
      </c>
      <c r="AA79" s="19">
        <v>2</v>
      </c>
      <c r="AB79" s="19">
        <v>2</v>
      </c>
      <c r="AC79" s="19">
        <v>2</v>
      </c>
      <c r="AD79" s="19">
        <v>2</v>
      </c>
      <c r="AE79" s="19">
        <v>2</v>
      </c>
      <c r="AF79" s="20">
        <v>0</v>
      </c>
      <c r="AG79" s="19">
        <v>0</v>
      </c>
      <c r="AH79" s="19">
        <v>0</v>
      </c>
      <c r="AI79" s="19">
        <v>0</v>
      </c>
      <c r="AJ79" s="19">
        <v>0</v>
      </c>
    </row>
    <row r="80" spans="1:36" ht="16.8" x14ac:dyDescent="0.3">
      <c r="A80" s="49"/>
      <c r="B80" s="61"/>
      <c r="C80" s="37" t="s">
        <v>213</v>
      </c>
      <c r="D80" s="37"/>
      <c r="E80" s="40" t="s">
        <v>128</v>
      </c>
      <c r="F80" s="40"/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9">
        <v>3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20">
        <v>0</v>
      </c>
      <c r="AG80" s="19">
        <v>0</v>
      </c>
      <c r="AH80" s="19">
        <v>0</v>
      </c>
      <c r="AI80" s="19">
        <v>0</v>
      </c>
      <c r="AJ80" s="19">
        <v>0</v>
      </c>
    </row>
    <row r="81" spans="1:36" ht="16.8" x14ac:dyDescent="0.3">
      <c r="A81" s="49"/>
      <c r="B81" s="61"/>
      <c r="C81" s="37" t="s">
        <v>175</v>
      </c>
      <c r="D81" s="37"/>
      <c r="E81" s="40" t="s">
        <v>131</v>
      </c>
      <c r="F81" s="40"/>
      <c r="G81" s="19">
        <v>3</v>
      </c>
      <c r="H81" s="19">
        <v>3</v>
      </c>
      <c r="I81" s="19">
        <v>3</v>
      </c>
      <c r="J81" s="19">
        <v>3</v>
      </c>
      <c r="K81" s="19">
        <v>3</v>
      </c>
      <c r="L81" s="19">
        <v>3</v>
      </c>
      <c r="M81" s="19">
        <v>3</v>
      </c>
      <c r="N81" s="19">
        <v>3</v>
      </c>
      <c r="O81" s="19">
        <v>3</v>
      </c>
      <c r="P81" s="19">
        <v>3</v>
      </c>
      <c r="Q81" s="19">
        <v>3</v>
      </c>
      <c r="R81" s="19">
        <v>3</v>
      </c>
      <c r="S81" s="19">
        <v>3</v>
      </c>
      <c r="T81" s="19">
        <v>3</v>
      </c>
      <c r="U81" s="19">
        <v>3</v>
      </c>
      <c r="V81" s="19">
        <v>3</v>
      </c>
      <c r="W81" s="19">
        <v>3</v>
      </c>
      <c r="X81" s="19">
        <v>3</v>
      </c>
      <c r="Y81" s="19">
        <v>3</v>
      </c>
      <c r="Z81" s="19">
        <v>3</v>
      </c>
      <c r="AA81" s="19">
        <v>3</v>
      </c>
      <c r="AB81" s="19">
        <v>3</v>
      </c>
      <c r="AC81" s="19">
        <v>3</v>
      </c>
      <c r="AD81" s="19">
        <v>3</v>
      </c>
      <c r="AE81" s="19">
        <v>3</v>
      </c>
      <c r="AF81" s="20">
        <v>0</v>
      </c>
      <c r="AG81" s="19">
        <v>0</v>
      </c>
      <c r="AH81" s="19">
        <v>0</v>
      </c>
      <c r="AI81" s="19">
        <v>0</v>
      </c>
      <c r="AJ81" s="19">
        <v>0</v>
      </c>
    </row>
    <row r="82" spans="1:36" ht="16.8" x14ac:dyDescent="0.3">
      <c r="A82" s="49"/>
      <c r="B82" s="61"/>
      <c r="C82" s="37" t="s">
        <v>176</v>
      </c>
      <c r="D82" s="37"/>
      <c r="E82" s="38" t="s">
        <v>130</v>
      </c>
      <c r="F82" s="39"/>
      <c r="G82" s="19">
        <v>3</v>
      </c>
      <c r="H82" s="19">
        <v>3</v>
      </c>
      <c r="I82" s="19">
        <v>3</v>
      </c>
      <c r="J82" s="19">
        <v>3</v>
      </c>
      <c r="K82" s="19">
        <v>3</v>
      </c>
      <c r="L82" s="19">
        <v>3</v>
      </c>
      <c r="M82" s="19">
        <v>3</v>
      </c>
      <c r="N82" s="19">
        <v>3</v>
      </c>
      <c r="O82" s="19">
        <v>3</v>
      </c>
      <c r="P82" s="19">
        <v>3</v>
      </c>
      <c r="Q82" s="19">
        <v>3</v>
      </c>
      <c r="R82" s="19">
        <v>3</v>
      </c>
      <c r="S82" s="19">
        <v>3</v>
      </c>
      <c r="T82" s="19">
        <v>3</v>
      </c>
      <c r="U82" s="19">
        <v>3</v>
      </c>
      <c r="V82" s="19">
        <v>3</v>
      </c>
      <c r="W82" s="19">
        <v>3</v>
      </c>
      <c r="X82" s="19">
        <v>3</v>
      </c>
      <c r="Y82" s="19">
        <v>3</v>
      </c>
      <c r="Z82" s="19">
        <v>3</v>
      </c>
      <c r="AA82" s="19">
        <v>3</v>
      </c>
      <c r="AB82" s="19">
        <v>3</v>
      </c>
      <c r="AC82" s="19">
        <v>3</v>
      </c>
      <c r="AD82" s="19">
        <v>3</v>
      </c>
      <c r="AE82" s="19">
        <v>3</v>
      </c>
      <c r="AF82" s="20">
        <v>0</v>
      </c>
      <c r="AG82" s="19">
        <v>0</v>
      </c>
      <c r="AH82" s="19">
        <v>0</v>
      </c>
      <c r="AI82" s="19">
        <v>0</v>
      </c>
      <c r="AJ82" s="19">
        <v>0</v>
      </c>
    </row>
    <row r="83" spans="1:36" ht="16.8" x14ac:dyDescent="0.3">
      <c r="A83" s="49"/>
      <c r="B83" s="61"/>
      <c r="C83" s="37" t="s">
        <v>177</v>
      </c>
      <c r="D83" s="37"/>
      <c r="E83" s="38" t="s">
        <v>129</v>
      </c>
      <c r="F83" s="39"/>
      <c r="G83" s="19">
        <v>3</v>
      </c>
      <c r="H83" s="19">
        <v>2</v>
      </c>
      <c r="I83" s="19">
        <v>2</v>
      </c>
      <c r="J83" s="19">
        <v>2</v>
      </c>
      <c r="K83" s="19">
        <v>2</v>
      </c>
      <c r="L83" s="19">
        <v>2</v>
      </c>
      <c r="M83" s="19">
        <v>2</v>
      </c>
      <c r="N83" s="19">
        <v>2</v>
      </c>
      <c r="O83" s="19">
        <v>2</v>
      </c>
      <c r="P83" s="19">
        <v>2</v>
      </c>
      <c r="Q83" s="19">
        <v>2</v>
      </c>
      <c r="R83" s="19">
        <v>2</v>
      </c>
      <c r="S83" s="19">
        <v>2</v>
      </c>
      <c r="T83" s="19">
        <v>2</v>
      </c>
      <c r="U83" s="19">
        <v>2</v>
      </c>
      <c r="V83" s="19">
        <v>2</v>
      </c>
      <c r="W83" s="19">
        <v>2</v>
      </c>
      <c r="X83" s="19">
        <v>2</v>
      </c>
      <c r="Y83" s="19">
        <v>2</v>
      </c>
      <c r="Z83" s="19">
        <v>2</v>
      </c>
      <c r="AA83" s="19">
        <v>2</v>
      </c>
      <c r="AB83" s="19">
        <v>2</v>
      </c>
      <c r="AC83" s="19">
        <v>2</v>
      </c>
      <c r="AD83" s="19">
        <v>2</v>
      </c>
      <c r="AE83" s="19">
        <v>2</v>
      </c>
      <c r="AF83" s="20">
        <v>0</v>
      </c>
      <c r="AH83" s="19">
        <v>0</v>
      </c>
      <c r="AI83" s="19">
        <v>0</v>
      </c>
      <c r="AJ83" s="19">
        <v>0</v>
      </c>
    </row>
    <row r="84" spans="1:36" ht="16.8" x14ac:dyDescent="0.3">
      <c r="A84" s="49"/>
      <c r="B84" s="62"/>
      <c r="C84" s="63"/>
      <c r="D84" s="64"/>
      <c r="E84" s="63"/>
      <c r="F84" s="64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2">
        <v>1</v>
      </c>
      <c r="AG84" s="19"/>
      <c r="AH84" s="19"/>
      <c r="AI84" s="19"/>
      <c r="AJ84" s="19"/>
    </row>
    <row r="85" spans="1:36" ht="16.8" x14ac:dyDescent="0.3">
      <c r="A85" s="49"/>
      <c r="B85" s="60" t="s">
        <v>33</v>
      </c>
      <c r="C85" s="37" t="s">
        <v>48</v>
      </c>
      <c r="D85" s="37"/>
      <c r="E85" s="40" t="s">
        <v>135</v>
      </c>
      <c r="F85" s="40"/>
      <c r="G85" s="19">
        <v>1</v>
      </c>
      <c r="H85" s="19">
        <v>2</v>
      </c>
      <c r="I85" s="19">
        <v>2</v>
      </c>
      <c r="J85" s="19">
        <v>2</v>
      </c>
      <c r="K85" s="19">
        <v>2</v>
      </c>
      <c r="L85" s="19">
        <v>2</v>
      </c>
      <c r="M85" s="19">
        <v>2</v>
      </c>
      <c r="N85" s="19">
        <v>2</v>
      </c>
      <c r="O85" s="19">
        <v>2</v>
      </c>
      <c r="P85" s="19">
        <v>2</v>
      </c>
      <c r="Q85" s="19">
        <v>2</v>
      </c>
      <c r="R85" s="19">
        <v>2</v>
      </c>
      <c r="S85" s="19">
        <v>2</v>
      </c>
      <c r="T85" s="19">
        <v>2</v>
      </c>
      <c r="U85" s="19">
        <v>2</v>
      </c>
      <c r="V85" s="19">
        <v>2</v>
      </c>
      <c r="W85" s="19">
        <v>2</v>
      </c>
      <c r="X85" s="19">
        <v>2</v>
      </c>
      <c r="Y85" s="19">
        <v>2</v>
      </c>
      <c r="Z85" s="19">
        <v>2</v>
      </c>
      <c r="AA85" s="19">
        <v>2</v>
      </c>
      <c r="AB85" s="19">
        <v>2</v>
      </c>
      <c r="AC85" s="19">
        <v>2</v>
      </c>
      <c r="AD85" s="19">
        <v>2</v>
      </c>
      <c r="AE85" s="19">
        <v>2</v>
      </c>
      <c r="AF85" s="19">
        <v>2</v>
      </c>
      <c r="AG85" s="20">
        <v>0</v>
      </c>
      <c r="AH85" s="19">
        <v>0</v>
      </c>
      <c r="AI85" s="19">
        <v>0</v>
      </c>
      <c r="AJ85" s="19">
        <v>0</v>
      </c>
    </row>
    <row r="86" spans="1:36" ht="16.8" x14ac:dyDescent="0.3">
      <c r="A86" s="49"/>
      <c r="B86" s="61"/>
      <c r="C86" s="37" t="s">
        <v>179</v>
      </c>
      <c r="D86" s="37"/>
      <c r="E86" s="40" t="s">
        <v>134</v>
      </c>
      <c r="F86" s="40"/>
      <c r="G86" s="19">
        <v>2</v>
      </c>
      <c r="H86" s="19">
        <v>2</v>
      </c>
      <c r="I86" s="19">
        <v>2</v>
      </c>
      <c r="J86" s="19">
        <v>2</v>
      </c>
      <c r="K86" s="19">
        <v>2</v>
      </c>
      <c r="L86" s="19">
        <v>2</v>
      </c>
      <c r="M86" s="19">
        <v>2</v>
      </c>
      <c r="N86" s="19">
        <v>2</v>
      </c>
      <c r="O86" s="19">
        <v>2</v>
      </c>
      <c r="P86" s="19">
        <v>2</v>
      </c>
      <c r="Q86" s="19">
        <v>2</v>
      </c>
      <c r="R86" s="19">
        <v>2</v>
      </c>
      <c r="S86" s="19">
        <v>2</v>
      </c>
      <c r="T86" s="19">
        <v>2</v>
      </c>
      <c r="U86" s="19">
        <v>2</v>
      </c>
      <c r="V86" s="19">
        <v>2</v>
      </c>
      <c r="W86" s="19">
        <v>2</v>
      </c>
      <c r="X86" s="19">
        <v>2</v>
      </c>
      <c r="Y86" s="19">
        <v>2</v>
      </c>
      <c r="Z86" s="19">
        <v>2</v>
      </c>
      <c r="AA86" s="19">
        <v>2</v>
      </c>
      <c r="AB86" s="19">
        <v>2</v>
      </c>
      <c r="AC86" s="19">
        <v>2</v>
      </c>
      <c r="AD86" s="19">
        <v>2</v>
      </c>
      <c r="AE86" s="19">
        <v>2</v>
      </c>
      <c r="AF86" s="19">
        <v>2</v>
      </c>
      <c r="AG86" s="20">
        <v>0</v>
      </c>
      <c r="AH86" s="19">
        <v>0</v>
      </c>
      <c r="AI86" s="19">
        <v>0</v>
      </c>
      <c r="AJ86" s="19">
        <v>0</v>
      </c>
    </row>
    <row r="87" spans="1:36" ht="16.8" x14ac:dyDescent="0.3">
      <c r="A87" s="49"/>
      <c r="B87" s="61"/>
      <c r="C87" s="37" t="s">
        <v>180</v>
      </c>
      <c r="D87" s="37"/>
      <c r="E87" s="40" t="s">
        <v>133</v>
      </c>
      <c r="F87" s="40"/>
      <c r="G87" s="19">
        <v>2</v>
      </c>
      <c r="H87" s="19">
        <v>2</v>
      </c>
      <c r="I87" s="19">
        <v>2</v>
      </c>
      <c r="J87" s="19">
        <v>2</v>
      </c>
      <c r="K87" s="19">
        <v>2</v>
      </c>
      <c r="L87" s="19">
        <v>2</v>
      </c>
      <c r="M87" s="19">
        <v>2</v>
      </c>
      <c r="N87" s="19">
        <v>2</v>
      </c>
      <c r="O87" s="19">
        <v>2</v>
      </c>
      <c r="P87" s="19">
        <v>2</v>
      </c>
      <c r="Q87" s="19">
        <v>2</v>
      </c>
      <c r="R87" s="19">
        <v>2</v>
      </c>
      <c r="S87" s="19">
        <v>2</v>
      </c>
      <c r="T87" s="19">
        <v>2</v>
      </c>
      <c r="U87" s="19">
        <v>2</v>
      </c>
      <c r="V87" s="19">
        <v>2</v>
      </c>
      <c r="W87" s="19">
        <v>2</v>
      </c>
      <c r="X87" s="19">
        <v>2</v>
      </c>
      <c r="Y87" s="19">
        <v>2</v>
      </c>
      <c r="Z87" s="19">
        <v>2</v>
      </c>
      <c r="AA87" s="19">
        <v>2</v>
      </c>
      <c r="AB87" s="19">
        <v>2</v>
      </c>
      <c r="AC87" s="19">
        <v>2</v>
      </c>
      <c r="AD87" s="19">
        <v>2</v>
      </c>
      <c r="AE87" s="19">
        <v>2</v>
      </c>
      <c r="AF87" s="19">
        <v>2</v>
      </c>
      <c r="AG87" s="20">
        <v>0</v>
      </c>
      <c r="AH87" s="19">
        <v>0</v>
      </c>
      <c r="AI87" s="19">
        <v>0</v>
      </c>
      <c r="AJ87" s="19">
        <v>0</v>
      </c>
    </row>
    <row r="88" spans="1:36" ht="16.8" x14ac:dyDescent="0.3">
      <c r="A88" s="49"/>
      <c r="B88" s="61"/>
      <c r="C88" s="37" t="s">
        <v>112</v>
      </c>
      <c r="D88" s="37"/>
      <c r="E88" s="40" t="s">
        <v>136</v>
      </c>
      <c r="F88" s="40"/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>
        <v>1</v>
      </c>
      <c r="M88" s="19">
        <v>1</v>
      </c>
      <c r="N88" s="19">
        <v>1</v>
      </c>
      <c r="O88" s="19">
        <v>1</v>
      </c>
      <c r="P88" s="19">
        <v>1</v>
      </c>
      <c r="Q88" s="19">
        <v>1</v>
      </c>
      <c r="R88" s="19">
        <v>1</v>
      </c>
      <c r="S88" s="19">
        <v>1</v>
      </c>
      <c r="T88" s="19">
        <v>1</v>
      </c>
      <c r="U88" s="19">
        <v>1</v>
      </c>
      <c r="V88" s="19">
        <v>1</v>
      </c>
      <c r="W88" s="19">
        <v>1</v>
      </c>
      <c r="X88" s="19">
        <v>1</v>
      </c>
      <c r="Y88" s="19">
        <v>1</v>
      </c>
      <c r="Z88" s="19">
        <v>1</v>
      </c>
      <c r="AA88" s="19">
        <v>1</v>
      </c>
      <c r="AB88" s="19">
        <v>1</v>
      </c>
      <c r="AC88" s="19">
        <v>1</v>
      </c>
      <c r="AD88" s="19">
        <v>1</v>
      </c>
      <c r="AE88" s="19">
        <v>1</v>
      </c>
      <c r="AF88" s="19">
        <v>1</v>
      </c>
      <c r="AG88" s="20">
        <v>0</v>
      </c>
      <c r="AH88" s="19">
        <v>0</v>
      </c>
      <c r="AI88" s="19">
        <v>0</v>
      </c>
      <c r="AJ88" s="19">
        <v>0</v>
      </c>
    </row>
    <row r="89" spans="1:36" ht="16.8" x14ac:dyDescent="0.3">
      <c r="A89" s="49"/>
      <c r="B89" s="61"/>
      <c r="C89" s="37" t="s">
        <v>182</v>
      </c>
      <c r="D89" s="37"/>
      <c r="E89" s="40" t="s">
        <v>134</v>
      </c>
      <c r="F89" s="40"/>
      <c r="G89" s="19">
        <v>3</v>
      </c>
      <c r="H89" s="19">
        <v>2</v>
      </c>
      <c r="I89" s="19">
        <v>2</v>
      </c>
      <c r="J89" s="19">
        <v>2</v>
      </c>
      <c r="K89" s="19">
        <v>2</v>
      </c>
      <c r="L89" s="19">
        <v>2</v>
      </c>
      <c r="M89" s="19">
        <v>2</v>
      </c>
      <c r="N89" s="19">
        <v>2</v>
      </c>
      <c r="O89" s="19">
        <v>2</v>
      </c>
      <c r="P89" s="19">
        <v>2</v>
      </c>
      <c r="Q89" s="19">
        <v>2</v>
      </c>
      <c r="R89" s="19">
        <v>2</v>
      </c>
      <c r="S89" s="19">
        <v>2</v>
      </c>
      <c r="T89" s="19">
        <v>2</v>
      </c>
      <c r="U89" s="19">
        <v>2</v>
      </c>
      <c r="V89" s="19">
        <v>2</v>
      </c>
      <c r="W89" s="19">
        <v>2</v>
      </c>
      <c r="X89" s="19">
        <v>2</v>
      </c>
      <c r="Y89" s="19">
        <v>2</v>
      </c>
      <c r="Z89" s="19">
        <v>2</v>
      </c>
      <c r="AA89" s="19">
        <v>2</v>
      </c>
      <c r="AB89" s="19">
        <v>2</v>
      </c>
      <c r="AC89" s="19">
        <v>2</v>
      </c>
      <c r="AD89" s="19">
        <v>2</v>
      </c>
      <c r="AE89" s="19">
        <v>2</v>
      </c>
      <c r="AF89" s="19">
        <v>2</v>
      </c>
      <c r="AG89" s="20">
        <v>0</v>
      </c>
      <c r="AH89" s="33">
        <v>0</v>
      </c>
      <c r="AI89" s="19">
        <v>0</v>
      </c>
      <c r="AJ89" s="19">
        <v>0</v>
      </c>
    </row>
    <row r="90" spans="1:36" ht="16.8" x14ac:dyDescent="0.3">
      <c r="A90" s="49"/>
      <c r="B90" s="61"/>
      <c r="C90" s="63"/>
      <c r="D90" s="64"/>
      <c r="E90" s="63"/>
      <c r="F90" s="64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2">
        <v>1</v>
      </c>
      <c r="AH90" s="19"/>
      <c r="AI90" s="19"/>
      <c r="AJ90" s="19"/>
    </row>
    <row r="91" spans="1:36" ht="16.8" x14ac:dyDescent="0.3">
      <c r="A91" s="49"/>
      <c r="B91" s="61"/>
      <c r="C91" s="37" t="s">
        <v>223</v>
      </c>
      <c r="D91" s="37"/>
      <c r="E91" s="38" t="s">
        <v>133</v>
      </c>
      <c r="F91" s="39"/>
      <c r="G91" s="33">
        <v>2</v>
      </c>
      <c r="H91" s="33">
        <v>2</v>
      </c>
      <c r="I91" s="33">
        <v>1</v>
      </c>
      <c r="J91" s="33">
        <v>1</v>
      </c>
      <c r="K91" s="33">
        <v>1</v>
      </c>
      <c r="L91" s="33">
        <v>1</v>
      </c>
      <c r="M91" s="33">
        <v>1</v>
      </c>
      <c r="N91" s="33">
        <v>1</v>
      </c>
      <c r="O91" s="33">
        <v>1</v>
      </c>
      <c r="P91" s="33">
        <v>1</v>
      </c>
      <c r="Q91" s="33">
        <v>1</v>
      </c>
      <c r="R91" s="33">
        <v>1</v>
      </c>
      <c r="S91" s="33">
        <v>1</v>
      </c>
      <c r="T91" s="33">
        <v>1</v>
      </c>
      <c r="U91" s="33">
        <v>1</v>
      </c>
      <c r="V91" s="33">
        <v>1</v>
      </c>
      <c r="W91" s="33">
        <v>1</v>
      </c>
      <c r="X91" s="33">
        <v>1</v>
      </c>
      <c r="Y91" s="33">
        <v>1</v>
      </c>
      <c r="Z91" s="33">
        <v>1</v>
      </c>
      <c r="AA91" s="33">
        <v>1</v>
      </c>
      <c r="AB91" s="33">
        <v>1</v>
      </c>
      <c r="AC91" s="33">
        <v>1</v>
      </c>
      <c r="AD91" s="33">
        <v>1</v>
      </c>
      <c r="AE91" s="33">
        <v>1</v>
      </c>
      <c r="AF91" s="33">
        <v>1</v>
      </c>
      <c r="AG91" s="33">
        <v>1</v>
      </c>
      <c r="AH91" s="20">
        <v>0</v>
      </c>
      <c r="AI91" s="19">
        <v>0</v>
      </c>
      <c r="AJ91" s="19">
        <v>0</v>
      </c>
    </row>
    <row r="92" spans="1:36" ht="16.8" x14ac:dyDescent="0.3">
      <c r="A92" s="49"/>
      <c r="B92" s="61"/>
      <c r="C92" s="37" t="s">
        <v>212</v>
      </c>
      <c r="D92" s="37"/>
      <c r="E92" s="40" t="s">
        <v>135</v>
      </c>
      <c r="F92" s="40"/>
      <c r="G92" s="19">
        <v>2</v>
      </c>
      <c r="H92" s="19">
        <v>2</v>
      </c>
      <c r="I92" s="19">
        <v>1</v>
      </c>
      <c r="J92" s="19">
        <v>1</v>
      </c>
      <c r="K92" s="19">
        <v>1</v>
      </c>
      <c r="L92" s="19">
        <v>1</v>
      </c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  <c r="S92" s="19">
        <v>1</v>
      </c>
      <c r="T92" s="19">
        <v>1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>
        <v>1</v>
      </c>
      <c r="AA92" s="19">
        <v>1</v>
      </c>
      <c r="AB92" s="19">
        <v>1</v>
      </c>
      <c r="AC92" s="19">
        <v>1</v>
      </c>
      <c r="AD92" s="19">
        <v>1</v>
      </c>
      <c r="AE92" s="19">
        <v>1</v>
      </c>
      <c r="AF92" s="19">
        <v>1</v>
      </c>
      <c r="AG92" s="19">
        <v>1</v>
      </c>
      <c r="AH92" s="20">
        <v>0</v>
      </c>
      <c r="AI92" s="19">
        <v>0</v>
      </c>
      <c r="AJ92" s="19">
        <v>0</v>
      </c>
    </row>
    <row r="93" spans="1:36" ht="16.8" x14ac:dyDescent="0.3">
      <c r="A93" s="49"/>
      <c r="B93" s="61"/>
      <c r="C93" s="37" t="s">
        <v>183</v>
      </c>
      <c r="D93" s="37"/>
      <c r="E93" s="40" t="s">
        <v>136</v>
      </c>
      <c r="F93" s="40"/>
      <c r="G93" s="19">
        <v>2</v>
      </c>
      <c r="H93" s="19">
        <v>2</v>
      </c>
      <c r="I93" s="19">
        <v>2</v>
      </c>
      <c r="J93" s="19">
        <v>2</v>
      </c>
      <c r="K93" s="19">
        <v>2</v>
      </c>
      <c r="L93" s="19">
        <v>2</v>
      </c>
      <c r="M93" s="19">
        <v>2</v>
      </c>
      <c r="N93" s="19">
        <v>2</v>
      </c>
      <c r="O93" s="19">
        <v>2</v>
      </c>
      <c r="P93" s="19">
        <v>2</v>
      </c>
      <c r="Q93" s="19">
        <v>2</v>
      </c>
      <c r="R93" s="19">
        <v>2</v>
      </c>
      <c r="S93" s="19">
        <v>2</v>
      </c>
      <c r="T93" s="19">
        <v>2</v>
      </c>
      <c r="U93" s="19">
        <v>2</v>
      </c>
      <c r="V93" s="19">
        <v>2</v>
      </c>
      <c r="W93" s="19">
        <v>2</v>
      </c>
      <c r="X93" s="19">
        <v>2</v>
      </c>
      <c r="Y93" s="19">
        <v>2</v>
      </c>
      <c r="Z93" s="19">
        <v>2</v>
      </c>
      <c r="AA93" s="19">
        <v>2</v>
      </c>
      <c r="AB93" s="19">
        <v>2</v>
      </c>
      <c r="AC93" s="19">
        <v>2</v>
      </c>
      <c r="AD93" s="19">
        <v>2</v>
      </c>
      <c r="AE93" s="19">
        <v>2</v>
      </c>
      <c r="AF93" s="19">
        <v>2</v>
      </c>
      <c r="AG93" s="19">
        <v>2</v>
      </c>
      <c r="AH93" s="20">
        <v>0</v>
      </c>
      <c r="AI93" s="19">
        <v>0</v>
      </c>
      <c r="AJ93" s="19">
        <v>0</v>
      </c>
    </row>
    <row r="94" spans="1:36" ht="16.8" x14ac:dyDescent="0.3">
      <c r="A94" s="49"/>
      <c r="B94" s="61"/>
      <c r="C94" s="37" t="s">
        <v>184</v>
      </c>
      <c r="D94" s="37"/>
      <c r="E94" s="40" t="s">
        <v>132</v>
      </c>
      <c r="F94" s="40"/>
      <c r="G94" s="19">
        <v>1</v>
      </c>
      <c r="H94" s="19">
        <v>1</v>
      </c>
      <c r="I94" s="19">
        <v>1</v>
      </c>
      <c r="J94" s="19">
        <v>1</v>
      </c>
      <c r="K94" s="19">
        <v>1</v>
      </c>
      <c r="L94" s="19">
        <v>1</v>
      </c>
      <c r="M94" s="19">
        <v>1</v>
      </c>
      <c r="N94" s="19">
        <v>1</v>
      </c>
      <c r="O94" s="19">
        <v>1</v>
      </c>
      <c r="P94" s="19">
        <v>1</v>
      </c>
      <c r="Q94" s="19">
        <v>1</v>
      </c>
      <c r="R94" s="19">
        <v>1</v>
      </c>
      <c r="S94" s="19">
        <v>1</v>
      </c>
      <c r="T94" s="19">
        <v>1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>
        <v>1</v>
      </c>
      <c r="AA94" s="19">
        <v>1</v>
      </c>
      <c r="AB94" s="19">
        <v>1</v>
      </c>
      <c r="AC94" s="19">
        <v>1</v>
      </c>
      <c r="AD94" s="19">
        <v>1</v>
      </c>
      <c r="AE94" s="19">
        <v>1</v>
      </c>
      <c r="AF94" s="19">
        <v>1</v>
      </c>
      <c r="AG94" s="19">
        <v>1</v>
      </c>
      <c r="AH94" s="20">
        <v>0</v>
      </c>
      <c r="AI94" s="19">
        <v>0</v>
      </c>
      <c r="AJ94" s="19">
        <v>0</v>
      </c>
    </row>
    <row r="95" spans="1:36" ht="16.8" x14ac:dyDescent="0.3">
      <c r="A95" s="49"/>
      <c r="B95" s="62"/>
      <c r="C95" s="37" t="s">
        <v>185</v>
      </c>
      <c r="D95" s="37"/>
      <c r="E95" s="38" t="s">
        <v>132</v>
      </c>
      <c r="F95" s="39"/>
      <c r="G95" s="33">
        <v>1</v>
      </c>
      <c r="H95" s="33">
        <v>1</v>
      </c>
      <c r="I95" s="33">
        <v>1</v>
      </c>
      <c r="J95" s="33">
        <v>1</v>
      </c>
      <c r="K95" s="33">
        <v>1</v>
      </c>
      <c r="L95" s="33">
        <v>1</v>
      </c>
      <c r="M95" s="33">
        <v>1</v>
      </c>
      <c r="N95" s="33">
        <v>1</v>
      </c>
      <c r="O95" s="33">
        <v>1</v>
      </c>
      <c r="P95" s="33">
        <v>1</v>
      </c>
      <c r="Q95" s="33">
        <v>1</v>
      </c>
      <c r="R95" s="33">
        <v>1</v>
      </c>
      <c r="S95" s="33">
        <v>1</v>
      </c>
      <c r="T95" s="33">
        <v>1</v>
      </c>
      <c r="U95" s="33">
        <v>1</v>
      </c>
      <c r="V95" s="33">
        <v>1</v>
      </c>
      <c r="W95" s="33">
        <v>1</v>
      </c>
      <c r="X95" s="33">
        <v>1</v>
      </c>
      <c r="Y95" s="33">
        <v>1</v>
      </c>
      <c r="Z95" s="33">
        <v>1</v>
      </c>
      <c r="AA95" s="33">
        <v>1</v>
      </c>
      <c r="AB95" s="33">
        <v>1</v>
      </c>
      <c r="AC95" s="33">
        <v>1</v>
      </c>
      <c r="AD95" s="33">
        <v>1</v>
      </c>
      <c r="AE95" s="33">
        <v>1</v>
      </c>
      <c r="AF95" s="33">
        <v>1</v>
      </c>
      <c r="AG95" s="33">
        <v>1</v>
      </c>
      <c r="AH95" s="20">
        <v>0</v>
      </c>
      <c r="AI95" s="19">
        <v>0</v>
      </c>
      <c r="AJ95" s="19">
        <v>0</v>
      </c>
    </row>
    <row r="96" spans="1:36" ht="16.8" x14ac:dyDescent="0.3">
      <c r="A96" s="49"/>
      <c r="B96" s="57" t="s">
        <v>42</v>
      </c>
      <c r="C96" s="37" t="s">
        <v>47</v>
      </c>
      <c r="D96" s="37"/>
      <c r="E96" s="40" t="s">
        <v>130</v>
      </c>
      <c r="F96" s="40"/>
      <c r="G96" s="19">
        <v>1</v>
      </c>
      <c r="H96" s="19">
        <v>1</v>
      </c>
      <c r="I96" s="19">
        <v>1</v>
      </c>
      <c r="J96" s="19">
        <v>1</v>
      </c>
      <c r="K96" s="19">
        <v>1</v>
      </c>
      <c r="L96" s="19">
        <v>1</v>
      </c>
      <c r="M96" s="19">
        <v>1</v>
      </c>
      <c r="N96" s="19">
        <v>1</v>
      </c>
      <c r="O96" s="19">
        <v>1</v>
      </c>
      <c r="P96" s="19">
        <v>1</v>
      </c>
      <c r="Q96" s="19">
        <v>1</v>
      </c>
      <c r="R96" s="19">
        <v>1</v>
      </c>
      <c r="S96" s="19">
        <v>1</v>
      </c>
      <c r="T96" s="19">
        <v>1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>
        <v>1</v>
      </c>
      <c r="AA96" s="19">
        <v>1</v>
      </c>
      <c r="AB96" s="19">
        <v>1</v>
      </c>
      <c r="AC96" s="19">
        <v>1</v>
      </c>
      <c r="AD96" s="19">
        <v>1</v>
      </c>
      <c r="AE96" s="19">
        <v>1</v>
      </c>
      <c r="AF96" s="19">
        <v>1</v>
      </c>
      <c r="AG96" s="19">
        <v>1</v>
      </c>
      <c r="AH96" s="19">
        <v>1</v>
      </c>
      <c r="AI96" s="20">
        <v>0</v>
      </c>
      <c r="AJ96" s="19">
        <v>0</v>
      </c>
    </row>
    <row r="97" spans="1:36" ht="16.8" x14ac:dyDescent="0.3">
      <c r="A97" s="49"/>
      <c r="B97" s="58"/>
      <c r="C97" s="37" t="s">
        <v>187</v>
      </c>
      <c r="D97" s="37"/>
      <c r="E97" s="40" t="s">
        <v>129</v>
      </c>
      <c r="F97" s="40"/>
      <c r="G97" s="19">
        <v>1</v>
      </c>
      <c r="H97" s="19">
        <v>1</v>
      </c>
      <c r="I97" s="19">
        <v>1</v>
      </c>
      <c r="J97" s="19">
        <v>1</v>
      </c>
      <c r="K97" s="19">
        <v>1</v>
      </c>
      <c r="L97" s="19">
        <v>1</v>
      </c>
      <c r="M97" s="19">
        <v>1</v>
      </c>
      <c r="N97" s="19">
        <v>1</v>
      </c>
      <c r="O97" s="19">
        <v>1</v>
      </c>
      <c r="P97" s="19">
        <v>1</v>
      </c>
      <c r="Q97" s="19">
        <v>1</v>
      </c>
      <c r="R97" s="19">
        <v>1</v>
      </c>
      <c r="S97" s="19">
        <v>1</v>
      </c>
      <c r="T97" s="19">
        <v>1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>
        <v>1</v>
      </c>
      <c r="AA97" s="19">
        <v>1</v>
      </c>
      <c r="AB97" s="19">
        <v>1</v>
      </c>
      <c r="AC97" s="19">
        <v>1</v>
      </c>
      <c r="AD97" s="19">
        <v>1</v>
      </c>
      <c r="AE97" s="19">
        <v>1</v>
      </c>
      <c r="AF97" s="19">
        <v>1</v>
      </c>
      <c r="AG97" s="19">
        <v>1</v>
      </c>
      <c r="AH97" s="19">
        <v>1</v>
      </c>
      <c r="AI97" s="20">
        <v>0</v>
      </c>
      <c r="AJ97" s="19">
        <v>0</v>
      </c>
    </row>
    <row r="98" spans="1:36" ht="16.8" x14ac:dyDescent="0.3">
      <c r="B98" s="58"/>
      <c r="C98" s="37" t="s">
        <v>188</v>
      </c>
      <c r="D98" s="37"/>
      <c r="E98" s="40" t="s">
        <v>128</v>
      </c>
      <c r="F98" s="40"/>
      <c r="G98" s="19">
        <v>2</v>
      </c>
      <c r="H98" s="19">
        <v>2</v>
      </c>
      <c r="I98" s="19">
        <v>2</v>
      </c>
      <c r="J98" s="19">
        <v>2</v>
      </c>
      <c r="K98" s="19">
        <v>2</v>
      </c>
      <c r="L98" s="19">
        <v>2</v>
      </c>
      <c r="M98" s="19">
        <v>2</v>
      </c>
      <c r="N98" s="19">
        <v>2</v>
      </c>
      <c r="O98" s="19">
        <v>2</v>
      </c>
      <c r="P98" s="19">
        <v>2</v>
      </c>
      <c r="Q98" s="19">
        <v>2</v>
      </c>
      <c r="R98" s="19">
        <v>2</v>
      </c>
      <c r="S98" s="19">
        <v>2</v>
      </c>
      <c r="T98" s="19">
        <v>2</v>
      </c>
      <c r="U98" s="19">
        <v>2</v>
      </c>
      <c r="V98" s="19">
        <v>2</v>
      </c>
      <c r="W98" s="19">
        <v>2</v>
      </c>
      <c r="X98" s="19">
        <v>2</v>
      </c>
      <c r="Y98" s="19">
        <v>2</v>
      </c>
      <c r="Z98" s="19">
        <v>2</v>
      </c>
      <c r="AA98" s="19">
        <v>2</v>
      </c>
      <c r="AB98" s="19">
        <v>2</v>
      </c>
      <c r="AC98" s="19">
        <v>2</v>
      </c>
      <c r="AD98" s="19">
        <v>2</v>
      </c>
      <c r="AE98" s="19">
        <v>2</v>
      </c>
      <c r="AF98" s="19">
        <v>2</v>
      </c>
      <c r="AG98" s="19">
        <v>2</v>
      </c>
      <c r="AH98" s="19">
        <v>2</v>
      </c>
      <c r="AI98" s="20">
        <v>0</v>
      </c>
      <c r="AJ98" s="19">
        <v>0</v>
      </c>
    </row>
    <row r="99" spans="1:36" ht="16.8" x14ac:dyDescent="0.3">
      <c r="B99" s="58"/>
      <c r="C99" s="37" t="s">
        <v>119</v>
      </c>
      <c r="D99" s="37"/>
      <c r="E99" s="40" t="s">
        <v>131</v>
      </c>
      <c r="F99" s="40"/>
      <c r="G99" s="19">
        <v>2</v>
      </c>
      <c r="H99" s="19">
        <v>2</v>
      </c>
      <c r="I99" s="19">
        <v>2</v>
      </c>
      <c r="J99" s="19">
        <v>2</v>
      </c>
      <c r="K99" s="19">
        <v>2</v>
      </c>
      <c r="L99" s="19">
        <v>2</v>
      </c>
      <c r="M99" s="19">
        <v>2</v>
      </c>
      <c r="N99" s="19">
        <v>2</v>
      </c>
      <c r="O99" s="19">
        <v>2</v>
      </c>
      <c r="P99" s="19">
        <v>2</v>
      </c>
      <c r="Q99" s="19">
        <v>2</v>
      </c>
      <c r="R99" s="19">
        <v>2</v>
      </c>
      <c r="S99" s="19">
        <v>2</v>
      </c>
      <c r="T99" s="19">
        <v>2</v>
      </c>
      <c r="U99" s="19">
        <v>2</v>
      </c>
      <c r="V99" s="19">
        <v>2</v>
      </c>
      <c r="W99" s="19">
        <v>2</v>
      </c>
      <c r="X99" s="19">
        <v>2</v>
      </c>
      <c r="Y99" s="19">
        <v>2</v>
      </c>
      <c r="Z99" s="19">
        <v>2</v>
      </c>
      <c r="AA99" s="19">
        <v>2</v>
      </c>
      <c r="AB99" s="19">
        <v>2</v>
      </c>
      <c r="AC99" s="19">
        <v>2</v>
      </c>
      <c r="AD99" s="19">
        <v>2</v>
      </c>
      <c r="AE99" s="19">
        <v>2</v>
      </c>
      <c r="AF99" s="19">
        <v>2</v>
      </c>
      <c r="AG99" s="19">
        <v>2</v>
      </c>
      <c r="AH99" s="19">
        <v>2</v>
      </c>
      <c r="AI99" s="20">
        <v>0</v>
      </c>
      <c r="AJ99" s="19">
        <v>0</v>
      </c>
    </row>
    <row r="100" spans="1:36" ht="16.8" x14ac:dyDescent="0.3">
      <c r="B100" s="58"/>
      <c r="C100" s="37" t="s">
        <v>190</v>
      </c>
      <c r="D100" s="37"/>
      <c r="E100" s="40" t="s">
        <v>130</v>
      </c>
      <c r="F100" s="40"/>
      <c r="G100" s="19">
        <v>2</v>
      </c>
      <c r="H100" s="19">
        <v>2</v>
      </c>
      <c r="I100" s="19">
        <v>2</v>
      </c>
      <c r="J100" s="19">
        <v>2</v>
      </c>
      <c r="K100" s="19">
        <v>2</v>
      </c>
      <c r="L100" s="19">
        <v>2</v>
      </c>
      <c r="M100" s="19">
        <v>2</v>
      </c>
      <c r="N100" s="19">
        <v>2</v>
      </c>
      <c r="O100" s="19">
        <v>2</v>
      </c>
      <c r="P100" s="19">
        <v>2</v>
      </c>
      <c r="Q100" s="19">
        <v>2</v>
      </c>
      <c r="R100" s="19">
        <v>2</v>
      </c>
      <c r="S100" s="19">
        <v>2</v>
      </c>
      <c r="T100" s="19">
        <v>2</v>
      </c>
      <c r="U100" s="19">
        <v>2</v>
      </c>
      <c r="V100" s="19">
        <v>2</v>
      </c>
      <c r="W100" s="19">
        <v>2</v>
      </c>
      <c r="X100" s="19">
        <v>2</v>
      </c>
      <c r="Y100" s="19">
        <v>2</v>
      </c>
      <c r="Z100" s="19">
        <v>2</v>
      </c>
      <c r="AA100" s="19">
        <v>2</v>
      </c>
      <c r="AB100" s="19">
        <v>2</v>
      </c>
      <c r="AC100" s="19">
        <v>2</v>
      </c>
      <c r="AD100" s="19">
        <v>2</v>
      </c>
      <c r="AE100" s="19">
        <v>2</v>
      </c>
      <c r="AF100" s="19">
        <v>2</v>
      </c>
      <c r="AG100" s="19">
        <v>2</v>
      </c>
      <c r="AH100" s="19">
        <v>2</v>
      </c>
      <c r="AI100" s="20">
        <v>0</v>
      </c>
      <c r="AJ100" s="19">
        <v>0</v>
      </c>
    </row>
    <row r="101" spans="1:36" ht="16.8" x14ac:dyDescent="0.3">
      <c r="B101" s="58"/>
      <c r="C101" s="37" t="s">
        <v>224</v>
      </c>
      <c r="D101" s="37"/>
      <c r="E101" s="38" t="s">
        <v>129</v>
      </c>
      <c r="F101" s="39"/>
      <c r="G101" s="33">
        <v>2</v>
      </c>
      <c r="H101" s="33">
        <v>2</v>
      </c>
      <c r="I101" s="33">
        <v>2</v>
      </c>
      <c r="J101" s="33">
        <v>2</v>
      </c>
      <c r="K101" s="33">
        <v>2</v>
      </c>
      <c r="L101" s="33">
        <v>2</v>
      </c>
      <c r="M101" s="33">
        <v>2</v>
      </c>
      <c r="N101" s="33">
        <v>2</v>
      </c>
      <c r="O101" s="33">
        <v>2</v>
      </c>
      <c r="P101" s="33">
        <v>2</v>
      </c>
      <c r="Q101" s="33">
        <v>2</v>
      </c>
      <c r="R101" s="33">
        <v>2</v>
      </c>
      <c r="S101" s="33">
        <v>2</v>
      </c>
      <c r="T101" s="33">
        <v>2</v>
      </c>
      <c r="U101" s="33">
        <v>2</v>
      </c>
      <c r="V101" s="33">
        <v>2</v>
      </c>
      <c r="W101" s="33">
        <v>2</v>
      </c>
      <c r="X101" s="33">
        <v>2</v>
      </c>
      <c r="Y101" s="33">
        <v>2</v>
      </c>
      <c r="Z101" s="33">
        <v>2</v>
      </c>
      <c r="AA101" s="33">
        <v>2</v>
      </c>
      <c r="AB101" s="33">
        <v>2</v>
      </c>
      <c r="AC101" s="33">
        <v>2</v>
      </c>
      <c r="AD101" s="33">
        <v>2</v>
      </c>
      <c r="AE101" s="33">
        <v>2</v>
      </c>
      <c r="AF101" s="33">
        <v>2</v>
      </c>
      <c r="AG101" s="33">
        <v>2</v>
      </c>
      <c r="AH101" s="33">
        <v>2</v>
      </c>
      <c r="AI101" s="20">
        <v>0</v>
      </c>
      <c r="AJ101" s="19">
        <v>0</v>
      </c>
    </row>
    <row r="102" spans="1:36" ht="16.8" x14ac:dyDescent="0.3">
      <c r="B102" s="58"/>
      <c r="C102" s="37" t="s">
        <v>211</v>
      </c>
      <c r="D102" s="37"/>
      <c r="E102" s="40" t="s">
        <v>128</v>
      </c>
      <c r="F102" s="40"/>
      <c r="G102" s="19">
        <v>2</v>
      </c>
      <c r="H102" s="19">
        <v>2</v>
      </c>
      <c r="I102" s="19">
        <v>2</v>
      </c>
      <c r="J102" s="19">
        <v>2</v>
      </c>
      <c r="K102" s="19">
        <v>2</v>
      </c>
      <c r="L102" s="19">
        <v>2</v>
      </c>
      <c r="M102" s="19">
        <v>2</v>
      </c>
      <c r="N102" s="19">
        <v>2</v>
      </c>
      <c r="O102" s="19">
        <v>2</v>
      </c>
      <c r="P102" s="19">
        <v>2</v>
      </c>
      <c r="Q102" s="19">
        <v>2</v>
      </c>
      <c r="R102" s="19">
        <v>2</v>
      </c>
      <c r="S102" s="19">
        <v>2</v>
      </c>
      <c r="T102" s="19">
        <v>2</v>
      </c>
      <c r="U102" s="19">
        <v>2</v>
      </c>
      <c r="V102" s="19">
        <v>2</v>
      </c>
      <c r="W102" s="19">
        <v>2</v>
      </c>
      <c r="X102" s="19">
        <v>2</v>
      </c>
      <c r="Y102" s="19">
        <v>2</v>
      </c>
      <c r="Z102" s="19">
        <v>2</v>
      </c>
      <c r="AA102" s="19">
        <v>2</v>
      </c>
      <c r="AB102" s="19">
        <v>2</v>
      </c>
      <c r="AC102" s="19">
        <v>2</v>
      </c>
      <c r="AD102" s="19">
        <v>2</v>
      </c>
      <c r="AE102" s="19">
        <v>2</v>
      </c>
      <c r="AF102" s="19">
        <v>2</v>
      </c>
      <c r="AG102" s="19">
        <v>2</v>
      </c>
      <c r="AH102" s="19">
        <v>2</v>
      </c>
      <c r="AI102" s="20">
        <v>0</v>
      </c>
      <c r="AJ102" s="19">
        <v>0</v>
      </c>
    </row>
    <row r="103" spans="1:36" ht="16.8" x14ac:dyDescent="0.3">
      <c r="B103" s="58"/>
      <c r="C103" s="37" t="s">
        <v>191</v>
      </c>
      <c r="D103" s="37"/>
      <c r="E103" s="40" t="s">
        <v>131</v>
      </c>
      <c r="F103" s="40"/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>
        <v>1</v>
      </c>
      <c r="M103" s="19">
        <v>1</v>
      </c>
      <c r="N103" s="19">
        <v>1</v>
      </c>
      <c r="O103" s="19">
        <v>1</v>
      </c>
      <c r="P103" s="19">
        <v>1</v>
      </c>
      <c r="Q103" s="19">
        <v>1</v>
      </c>
      <c r="R103" s="19">
        <v>1</v>
      </c>
      <c r="S103" s="19">
        <v>1</v>
      </c>
      <c r="T103" s="19">
        <v>1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>
        <v>1</v>
      </c>
      <c r="AA103" s="19">
        <v>1</v>
      </c>
      <c r="AB103" s="19">
        <v>1</v>
      </c>
      <c r="AC103" s="19">
        <v>1</v>
      </c>
      <c r="AD103" s="19">
        <v>1</v>
      </c>
      <c r="AE103" s="19">
        <v>1</v>
      </c>
      <c r="AF103" s="19">
        <v>1</v>
      </c>
      <c r="AG103" s="19">
        <v>1</v>
      </c>
      <c r="AH103" s="19">
        <v>1</v>
      </c>
      <c r="AI103" s="20">
        <v>0</v>
      </c>
      <c r="AJ103" s="19">
        <v>0</v>
      </c>
    </row>
    <row r="104" spans="1:36" ht="16.8" x14ac:dyDescent="0.3">
      <c r="B104" s="58"/>
      <c r="C104" s="37" t="s">
        <v>192</v>
      </c>
      <c r="D104" s="37"/>
      <c r="E104" s="40" t="s">
        <v>130</v>
      </c>
      <c r="F104" s="40"/>
      <c r="G104" s="19">
        <v>1</v>
      </c>
      <c r="H104" s="19">
        <v>1</v>
      </c>
      <c r="I104" s="19">
        <v>1</v>
      </c>
      <c r="J104" s="19">
        <v>1</v>
      </c>
      <c r="K104" s="19">
        <v>1</v>
      </c>
      <c r="L104" s="19">
        <v>1</v>
      </c>
      <c r="M104" s="19">
        <v>1</v>
      </c>
      <c r="N104" s="19">
        <v>1</v>
      </c>
      <c r="O104" s="19">
        <v>1</v>
      </c>
      <c r="P104" s="19">
        <v>1</v>
      </c>
      <c r="Q104" s="19">
        <v>1</v>
      </c>
      <c r="R104" s="19">
        <v>1</v>
      </c>
      <c r="S104" s="19">
        <v>1</v>
      </c>
      <c r="T104" s="19">
        <v>1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>
        <v>1</v>
      </c>
      <c r="AA104" s="19">
        <v>1</v>
      </c>
      <c r="AB104" s="19">
        <v>1</v>
      </c>
      <c r="AC104" s="19">
        <v>1</v>
      </c>
      <c r="AD104" s="19">
        <v>1</v>
      </c>
      <c r="AE104" s="19">
        <v>1</v>
      </c>
      <c r="AF104" s="19">
        <v>1</v>
      </c>
      <c r="AG104" s="19">
        <v>1</v>
      </c>
      <c r="AH104" s="19">
        <v>1</v>
      </c>
      <c r="AI104" s="20">
        <v>0</v>
      </c>
      <c r="AJ104" s="19">
        <v>0</v>
      </c>
    </row>
    <row r="105" spans="1:36" ht="16.8" x14ac:dyDescent="0.3">
      <c r="B105" s="59"/>
      <c r="C105" s="37" t="s">
        <v>193</v>
      </c>
      <c r="D105" s="37"/>
      <c r="E105" s="40" t="s">
        <v>129</v>
      </c>
      <c r="F105" s="40"/>
      <c r="G105" s="33">
        <v>1</v>
      </c>
      <c r="H105" s="33">
        <v>1</v>
      </c>
      <c r="I105" s="33">
        <v>1</v>
      </c>
      <c r="J105" s="33">
        <v>1</v>
      </c>
      <c r="K105" s="33">
        <v>1</v>
      </c>
      <c r="L105" s="33">
        <v>1</v>
      </c>
      <c r="M105" s="33">
        <v>1</v>
      </c>
      <c r="N105" s="33">
        <v>1</v>
      </c>
      <c r="O105" s="33">
        <v>1</v>
      </c>
      <c r="P105" s="33">
        <v>1</v>
      </c>
      <c r="Q105" s="33">
        <v>1</v>
      </c>
      <c r="R105" s="33">
        <v>1</v>
      </c>
      <c r="S105" s="33">
        <v>1</v>
      </c>
      <c r="T105" s="33">
        <v>1</v>
      </c>
      <c r="U105" s="33">
        <v>1</v>
      </c>
      <c r="V105" s="33">
        <v>1</v>
      </c>
      <c r="W105" s="33">
        <v>1</v>
      </c>
      <c r="X105" s="33">
        <v>1</v>
      </c>
      <c r="Y105" s="33">
        <v>1</v>
      </c>
      <c r="Z105" s="33">
        <v>1</v>
      </c>
      <c r="AA105" s="33">
        <v>1</v>
      </c>
      <c r="AB105" s="33">
        <v>1</v>
      </c>
      <c r="AC105" s="33">
        <v>1</v>
      </c>
      <c r="AD105" s="33">
        <v>1</v>
      </c>
      <c r="AE105" s="33">
        <v>1</v>
      </c>
      <c r="AF105" s="33">
        <v>1</v>
      </c>
      <c r="AG105" s="33">
        <v>1</v>
      </c>
      <c r="AH105" s="33">
        <v>1</v>
      </c>
      <c r="AI105" s="20">
        <v>0</v>
      </c>
      <c r="AJ105" s="19">
        <v>0</v>
      </c>
    </row>
    <row r="106" spans="1:36" ht="16.8" x14ac:dyDescent="0.3">
      <c r="B106" s="56" t="s">
        <v>41</v>
      </c>
      <c r="C106" s="37" t="s">
        <v>49</v>
      </c>
      <c r="D106" s="37"/>
      <c r="E106" s="40" t="s">
        <v>54</v>
      </c>
      <c r="F106" s="40"/>
      <c r="G106" s="19">
        <v>5</v>
      </c>
      <c r="H106" s="19">
        <v>5</v>
      </c>
      <c r="I106" s="19">
        <v>5</v>
      </c>
      <c r="J106" s="19">
        <v>5</v>
      </c>
      <c r="K106" s="19">
        <v>5</v>
      </c>
      <c r="L106" s="19">
        <v>5</v>
      </c>
      <c r="M106" s="19">
        <v>5</v>
      </c>
      <c r="N106" s="19">
        <v>5</v>
      </c>
      <c r="O106" s="19">
        <v>5</v>
      </c>
      <c r="P106" s="19">
        <v>5</v>
      </c>
      <c r="Q106" s="19">
        <v>5</v>
      </c>
      <c r="R106" s="19">
        <v>5</v>
      </c>
      <c r="S106" s="19">
        <v>5</v>
      </c>
      <c r="T106" s="19">
        <v>5</v>
      </c>
      <c r="U106" s="19">
        <v>5</v>
      </c>
      <c r="V106" s="19">
        <v>5</v>
      </c>
      <c r="W106" s="19">
        <v>5</v>
      </c>
      <c r="X106" s="19">
        <v>5</v>
      </c>
      <c r="Y106" s="19">
        <v>5</v>
      </c>
      <c r="Z106" s="19">
        <v>5</v>
      </c>
      <c r="AA106" s="19">
        <v>5</v>
      </c>
      <c r="AB106" s="19">
        <v>5</v>
      </c>
      <c r="AC106" s="19">
        <v>5</v>
      </c>
      <c r="AD106" s="19">
        <v>5</v>
      </c>
      <c r="AE106" s="19">
        <v>5</v>
      </c>
      <c r="AF106" s="19">
        <v>5</v>
      </c>
      <c r="AG106" s="19">
        <v>5</v>
      </c>
      <c r="AH106" s="19">
        <v>5</v>
      </c>
      <c r="AI106" s="19">
        <v>5</v>
      </c>
      <c r="AJ106" s="20">
        <v>0</v>
      </c>
    </row>
    <row r="107" spans="1:36" ht="16.8" x14ac:dyDescent="0.3">
      <c r="B107" s="56"/>
      <c r="C107" s="37" t="s">
        <v>50</v>
      </c>
      <c r="D107" s="37"/>
      <c r="E107" s="40" t="s">
        <v>54</v>
      </c>
      <c r="F107" s="40"/>
      <c r="G107" s="19">
        <v>5</v>
      </c>
      <c r="H107" s="19">
        <v>5</v>
      </c>
      <c r="I107" s="19">
        <v>5</v>
      </c>
      <c r="J107" s="19">
        <v>5</v>
      </c>
      <c r="K107" s="19">
        <v>5</v>
      </c>
      <c r="L107" s="19">
        <v>5</v>
      </c>
      <c r="M107" s="19">
        <v>5</v>
      </c>
      <c r="N107" s="19">
        <v>5</v>
      </c>
      <c r="O107" s="19">
        <v>5</v>
      </c>
      <c r="P107" s="19">
        <v>5</v>
      </c>
      <c r="Q107" s="19">
        <v>5</v>
      </c>
      <c r="R107" s="19">
        <v>5</v>
      </c>
      <c r="S107" s="19">
        <v>5</v>
      </c>
      <c r="T107" s="19">
        <v>5</v>
      </c>
      <c r="U107" s="19">
        <v>5</v>
      </c>
      <c r="V107" s="19">
        <v>5</v>
      </c>
      <c r="W107" s="19">
        <v>5</v>
      </c>
      <c r="X107" s="19">
        <v>5</v>
      </c>
      <c r="Y107" s="19">
        <v>5</v>
      </c>
      <c r="Z107" s="19">
        <v>5</v>
      </c>
      <c r="AA107" s="19">
        <v>5</v>
      </c>
      <c r="AB107" s="19">
        <v>5</v>
      </c>
      <c r="AC107" s="19">
        <v>5</v>
      </c>
      <c r="AD107" s="19">
        <v>5</v>
      </c>
      <c r="AE107" s="19">
        <v>5</v>
      </c>
      <c r="AF107" s="19">
        <v>5</v>
      </c>
      <c r="AG107" s="19">
        <v>5</v>
      </c>
      <c r="AH107" s="19">
        <v>5</v>
      </c>
      <c r="AI107" s="19">
        <v>5</v>
      </c>
      <c r="AJ107" s="20">
        <v>0</v>
      </c>
    </row>
    <row r="108" spans="1:36" ht="16.8" x14ac:dyDescent="0.3">
      <c r="B108" s="68" t="s">
        <v>12</v>
      </c>
      <c r="C108" s="68"/>
      <c r="D108" s="68"/>
      <c r="E108" s="54" t="s">
        <v>11</v>
      </c>
      <c r="F108" s="54"/>
      <c r="G108" s="40">
        <f>SUM(G16:G107)</f>
        <v>224.5</v>
      </c>
      <c r="H108" s="40"/>
      <c r="I108" s="19">
        <f>SUM(I16:I17)+I19+SUM(I21:I107)-I20+I18</f>
        <v>186</v>
      </c>
      <c r="J108" s="19">
        <f>SUM(J16:J26)+SUM(J28:J30)+SUM(J32:J107)+J27+J31</f>
        <v>167.5</v>
      </c>
      <c r="K108" s="19">
        <f>SUM(K16:K107)</f>
        <v>146</v>
      </c>
      <c r="L108" s="19">
        <f>SUM(L16:L107)</f>
        <v>148</v>
      </c>
      <c r="M108" s="19">
        <f>SUM(M16:M46)+SUM(M48:M107)-M47</f>
        <v>137</v>
      </c>
      <c r="N108" s="19">
        <f>SUM(N16:N107)</f>
        <v>139</v>
      </c>
      <c r="O108" s="19">
        <f>SUM(O16:O49)+SUM(O51:O107)+O50</f>
        <v>133</v>
      </c>
      <c r="P108" s="19">
        <f>SUM(P16:P107)</f>
        <v>131</v>
      </c>
      <c r="Q108" s="19">
        <f>SUM(Q16:Q52)+SUM(Q54:Q107)+Q53</f>
        <v>124</v>
      </c>
      <c r="R108" s="19">
        <f>SUM(R16:R107)</f>
        <v>122</v>
      </c>
      <c r="S108" s="19">
        <f>SUM(S16:S107)-S48</f>
        <v>116</v>
      </c>
      <c r="T108" s="19">
        <f>SUM(T16:T107)</f>
        <v>116</v>
      </c>
      <c r="U108" s="19">
        <f>SUM(U16:U107)</f>
        <v>109</v>
      </c>
      <c r="V108" s="19">
        <f>SUM(V16:V107)</f>
        <v>109</v>
      </c>
      <c r="W108" s="19">
        <f>SUM(W16:W107)</f>
        <v>103</v>
      </c>
      <c r="X108" s="19">
        <f>SUM(X16:X107)</f>
        <v>103</v>
      </c>
      <c r="Y108" s="19">
        <f>SUM(Y16:Y61)+SUM(Y63:Y107)+Y62</f>
        <v>97</v>
      </c>
      <c r="Z108" s="19">
        <f>SUM(Z16:Z107)</f>
        <v>95</v>
      </c>
      <c r="AA108" s="19">
        <f>SUM(AA16:AA107)</f>
        <v>87</v>
      </c>
      <c r="AB108" s="19">
        <f>SUM(AB16:AB107)</f>
        <v>87</v>
      </c>
      <c r="AC108" s="19">
        <f>SUM(AC16:AC107)</f>
        <v>82</v>
      </c>
      <c r="AD108" s="19">
        <f>SUM(AD16:AD69)+SUM(AD71:AD107)-AD70</f>
        <v>66</v>
      </c>
      <c r="AE108" s="19">
        <f>SUM(AE16:AE72)+SUM(AE74:AE77)+SUM(AE79:AE107)-AE73+AE78</f>
        <v>53</v>
      </c>
      <c r="AF108" s="19">
        <f>SUM(AF16:AF83)+SUM(AF85:AF107)+AF84</f>
        <v>41</v>
      </c>
      <c r="AG108" s="19">
        <f>SUM(AG16:AG89)+SUM(AG91:AG107)+AG90</f>
        <v>32</v>
      </c>
      <c r="AH108" s="19">
        <f>SUM(AH16:AH107)</f>
        <v>25</v>
      </c>
      <c r="AI108" s="19">
        <f>SUM(AI16:AI107)</f>
        <v>10</v>
      </c>
      <c r="AJ108" s="19">
        <f>SUM(AJ16:AJ107)</f>
        <v>0</v>
      </c>
    </row>
    <row r="109" spans="1:36" ht="16.8" x14ac:dyDescent="0.3">
      <c r="B109" s="68"/>
      <c r="C109" s="68"/>
      <c r="D109" s="68"/>
      <c r="E109" s="54" t="s">
        <v>55</v>
      </c>
      <c r="F109" s="54"/>
      <c r="G109" s="40">
        <f>SUM(H16:H107)</f>
        <v>217</v>
      </c>
      <c r="H109" s="40"/>
      <c r="I109" s="19">
        <f>SUM(I16:I17)+I19+SUM(I21:I107)</f>
        <v>186</v>
      </c>
      <c r="J109" s="19">
        <f>SUM(J16:J26)+SUM(J28:J30)+SUM(J32:J107)</f>
        <v>166</v>
      </c>
      <c r="K109" s="19">
        <f>SUM(K16:K107)</f>
        <v>146</v>
      </c>
      <c r="L109" s="19">
        <f>SUM(L16:L107)</f>
        <v>148</v>
      </c>
      <c r="M109" s="19">
        <f>SUM(M16:M46)+SUM(M48:M107)</f>
        <v>139</v>
      </c>
      <c r="N109" s="19">
        <f>SUM(N16:N107)</f>
        <v>139</v>
      </c>
      <c r="O109" s="19">
        <f>SUM(O16:O49)+SUM(O51:O107)</f>
        <v>131</v>
      </c>
      <c r="P109" s="19">
        <f>SUM(P16:P107)</f>
        <v>131</v>
      </c>
      <c r="Q109" s="19">
        <f>SUM(Q16:Q52)+SUM(Q54:Q107)</f>
        <v>122</v>
      </c>
      <c r="R109" s="19">
        <f>SUM(R16:R107)</f>
        <v>122</v>
      </c>
      <c r="S109" s="19">
        <f>SUM(S16:S107)</f>
        <v>116</v>
      </c>
      <c r="T109" s="19">
        <f>SUM(T16:T107)</f>
        <v>116</v>
      </c>
      <c r="U109" s="19">
        <f>SUM(U16:U107)</f>
        <v>109</v>
      </c>
      <c r="V109" s="19">
        <f>SUM(V16:V107)-V63</f>
        <v>104</v>
      </c>
      <c r="W109" s="19">
        <f>SUM(W16:W107)</f>
        <v>103</v>
      </c>
      <c r="X109" s="19">
        <f>SUM(X16:X107)</f>
        <v>103</v>
      </c>
      <c r="Y109" s="19">
        <f>SUM(Y16:Y61)+SUM(Y63:Y107)</f>
        <v>95</v>
      </c>
      <c r="Z109" s="19">
        <f>SUM(Z16:Z107)</f>
        <v>95</v>
      </c>
      <c r="AA109" s="19">
        <f>SUM(AA16:AA107)</f>
        <v>87</v>
      </c>
      <c r="AB109" s="19">
        <f>SUM(AB16:AB107)-AB93+AC102</f>
        <v>87</v>
      </c>
      <c r="AC109" s="19">
        <f>SUM(AC16:AC107)</f>
        <v>82</v>
      </c>
      <c r="AD109" s="19">
        <f>SUM(AD16:AD69)+SUM(AD71:AD107)</f>
        <v>67</v>
      </c>
      <c r="AE109" s="19">
        <f>SUM(AE16:AE72)+SUM(AE74:AE77)+SUM(AE79:AE107)</f>
        <v>53</v>
      </c>
      <c r="AF109" s="19">
        <f>SUM(AF16:AF83)+SUM(AF85:AF107)</f>
        <v>40</v>
      </c>
      <c r="AG109" s="19">
        <f>SUM(AG16:AG89)+SUM(AG91:AG107)</f>
        <v>31</v>
      </c>
      <c r="AH109" s="19">
        <f>SUM(AH16:AH107)</f>
        <v>25</v>
      </c>
      <c r="AI109" s="19">
        <f t="shared" ref="AI109:AJ109" si="0">SUM(AI16:AI107)</f>
        <v>10</v>
      </c>
      <c r="AJ109" s="19">
        <f t="shared" si="0"/>
        <v>0</v>
      </c>
    </row>
  </sheetData>
  <mergeCells count="205">
    <mergeCell ref="B85:B95"/>
    <mergeCell ref="B46:B71"/>
    <mergeCell ref="B35:B45"/>
    <mergeCell ref="B21:B34"/>
    <mergeCell ref="C27:D27"/>
    <mergeCell ref="E27:F27"/>
    <mergeCell ref="C31:D31"/>
    <mergeCell ref="C34:D34"/>
    <mergeCell ref="C47:D47"/>
    <mergeCell ref="C50:D50"/>
    <mergeCell ref="C53:D53"/>
    <mergeCell ref="C62:D62"/>
    <mergeCell ref="C71:D71"/>
    <mergeCell ref="C70:D70"/>
    <mergeCell ref="C78:D78"/>
    <mergeCell ref="C84:D84"/>
    <mergeCell ref="C90:D90"/>
    <mergeCell ref="E70:F70"/>
    <mergeCell ref="E62:F62"/>
    <mergeCell ref="C74:D74"/>
    <mergeCell ref="C56:D56"/>
    <mergeCell ref="C57:D57"/>
    <mergeCell ref="C58:D58"/>
    <mergeCell ref="C61:D61"/>
    <mergeCell ref="A16:A97"/>
    <mergeCell ref="B96:B105"/>
    <mergeCell ref="G108:H108"/>
    <mergeCell ref="G109:H109"/>
    <mergeCell ref="B18:D18"/>
    <mergeCell ref="E18:F18"/>
    <mergeCell ref="B20:D20"/>
    <mergeCell ref="E20:F20"/>
    <mergeCell ref="E75:F75"/>
    <mergeCell ref="C87:D87"/>
    <mergeCell ref="E87:F87"/>
    <mergeCell ref="C98:D98"/>
    <mergeCell ref="C102:D102"/>
    <mergeCell ref="E102:F102"/>
    <mergeCell ref="E98:F98"/>
    <mergeCell ref="C93:D93"/>
    <mergeCell ref="E93:F93"/>
    <mergeCell ref="E37:F37"/>
    <mergeCell ref="E44:F44"/>
    <mergeCell ref="C79:D79"/>
    <mergeCell ref="E78:F78"/>
    <mergeCell ref="E84:F84"/>
    <mergeCell ref="E90:F90"/>
    <mergeCell ref="E31:F31"/>
    <mergeCell ref="C67:D67"/>
    <mergeCell ref="C68:D68"/>
    <mergeCell ref="C69:D69"/>
    <mergeCell ref="E34:F34"/>
    <mergeCell ref="E47:F47"/>
    <mergeCell ref="E50:F50"/>
    <mergeCell ref="E53:F53"/>
    <mergeCell ref="C96:D96"/>
    <mergeCell ref="C80:D80"/>
    <mergeCell ref="C81:D81"/>
    <mergeCell ref="C91:D91"/>
    <mergeCell ref="E60:F60"/>
    <mergeCell ref="E45:F45"/>
    <mergeCell ref="E64:F64"/>
    <mergeCell ref="E65:F65"/>
    <mergeCell ref="E66:F66"/>
    <mergeCell ref="E67:F67"/>
    <mergeCell ref="E55:F55"/>
    <mergeCell ref="E56:F56"/>
    <mergeCell ref="E57:F57"/>
    <mergeCell ref="E74:F74"/>
    <mergeCell ref="E76:F76"/>
    <mergeCell ref="E63:F63"/>
    <mergeCell ref="E61:F61"/>
    <mergeCell ref="E16:F16"/>
    <mergeCell ref="E17:F17"/>
    <mergeCell ref="E19:F19"/>
    <mergeCell ref="E21:F21"/>
    <mergeCell ref="E72:F72"/>
    <mergeCell ref="E22:F22"/>
    <mergeCell ref="E23:F23"/>
    <mergeCell ref="E24:F24"/>
    <mergeCell ref="C22:D22"/>
    <mergeCell ref="C23:D23"/>
    <mergeCell ref="C24:D24"/>
    <mergeCell ref="C26:D26"/>
    <mergeCell ref="C40:D40"/>
    <mergeCell ref="C59:D59"/>
    <mergeCell ref="C60:D60"/>
    <mergeCell ref="C33:D33"/>
    <mergeCell ref="E68:F68"/>
    <mergeCell ref="E69:F69"/>
    <mergeCell ref="E71:F71"/>
    <mergeCell ref="C65:D65"/>
    <mergeCell ref="E26:F26"/>
    <mergeCell ref="E32:F32"/>
    <mergeCell ref="E40:F40"/>
    <mergeCell ref="E59:F59"/>
    <mergeCell ref="E33:F33"/>
    <mergeCell ref="C54:D54"/>
    <mergeCell ref="E54:F54"/>
    <mergeCell ref="C48:D48"/>
    <mergeCell ref="E25:F25"/>
    <mergeCell ref="E28:F28"/>
    <mergeCell ref="E29:F29"/>
    <mergeCell ref="E48:F48"/>
    <mergeCell ref="E39:F39"/>
    <mergeCell ref="E52:F52"/>
    <mergeCell ref="C25:D25"/>
    <mergeCell ref="C28:D28"/>
    <mergeCell ref="C43:D43"/>
    <mergeCell ref="C44:D44"/>
    <mergeCell ref="C51:D51"/>
    <mergeCell ref="C45:D45"/>
    <mergeCell ref="C46:D46"/>
    <mergeCell ref="C30:D30"/>
    <mergeCell ref="C32:D32"/>
    <mergeCell ref="E108:F108"/>
    <mergeCell ref="E109:F109"/>
    <mergeCell ref="C86:D86"/>
    <mergeCell ref="C88:D88"/>
    <mergeCell ref="E42:F42"/>
    <mergeCell ref="E43:F43"/>
    <mergeCell ref="E46:F46"/>
    <mergeCell ref="E49:F49"/>
    <mergeCell ref="E51:F51"/>
    <mergeCell ref="E80:F80"/>
    <mergeCell ref="E58:F58"/>
    <mergeCell ref="B108:D109"/>
    <mergeCell ref="E77:F77"/>
    <mergeCell ref="C97:D97"/>
    <mergeCell ref="C99:D99"/>
    <mergeCell ref="C49:D49"/>
    <mergeCell ref="C63:D63"/>
    <mergeCell ref="C77:D77"/>
    <mergeCell ref="C64:D64"/>
    <mergeCell ref="E100:F100"/>
    <mergeCell ref="E103:F103"/>
    <mergeCell ref="C101:D101"/>
    <mergeCell ref="E79:F79"/>
    <mergeCell ref="E82:F82"/>
    <mergeCell ref="B106:B107"/>
    <mergeCell ref="C100:D100"/>
    <mergeCell ref="C103:D103"/>
    <mergeCell ref="C104:D104"/>
    <mergeCell ref="C106:D106"/>
    <mergeCell ref="C107:D107"/>
    <mergeCell ref="C105:D105"/>
    <mergeCell ref="A1:B1"/>
    <mergeCell ref="A2:B2"/>
    <mergeCell ref="A3:B3"/>
    <mergeCell ref="A4:B4"/>
    <mergeCell ref="B6:E6"/>
    <mergeCell ref="E35:F35"/>
    <mergeCell ref="E36:F36"/>
    <mergeCell ref="E38:F38"/>
    <mergeCell ref="C29:D29"/>
    <mergeCell ref="E30:F30"/>
    <mergeCell ref="B13:C13"/>
    <mergeCell ref="C15:D15"/>
    <mergeCell ref="E15:F15"/>
    <mergeCell ref="B16:D16"/>
    <mergeCell ref="B17:D17"/>
    <mergeCell ref="B19:D19"/>
    <mergeCell ref="C21:D21"/>
    <mergeCell ref="E106:F106"/>
    <mergeCell ref="E107:F107"/>
    <mergeCell ref="E92:F92"/>
    <mergeCell ref="E94:F94"/>
    <mergeCell ref="E96:F96"/>
    <mergeCell ref="E97:F97"/>
    <mergeCell ref="E99:F99"/>
    <mergeCell ref="E81:F81"/>
    <mergeCell ref="E85:F85"/>
    <mergeCell ref="E86:F86"/>
    <mergeCell ref="E88:F88"/>
    <mergeCell ref="E89:F89"/>
    <mergeCell ref="E83:F83"/>
    <mergeCell ref="E91:F91"/>
    <mergeCell ref="E101:F101"/>
    <mergeCell ref="E105:F105"/>
    <mergeCell ref="E95:F95"/>
    <mergeCell ref="E104:F104"/>
    <mergeCell ref="B72:B84"/>
    <mergeCell ref="C73:D73"/>
    <mergeCell ref="E73:F73"/>
    <mergeCell ref="C95:D95"/>
    <mergeCell ref="C35:D35"/>
    <mergeCell ref="C36:D36"/>
    <mergeCell ref="C37:D37"/>
    <mergeCell ref="C38:D38"/>
    <mergeCell ref="C39:D39"/>
    <mergeCell ref="C41:D41"/>
    <mergeCell ref="C42:D42"/>
    <mergeCell ref="C75:D75"/>
    <mergeCell ref="C85:D85"/>
    <mergeCell ref="C72:D72"/>
    <mergeCell ref="C82:D82"/>
    <mergeCell ref="C83:D83"/>
    <mergeCell ref="E41:F41"/>
    <mergeCell ref="C92:D92"/>
    <mergeCell ref="C94:D94"/>
    <mergeCell ref="C66:D66"/>
    <mergeCell ref="C55:D55"/>
    <mergeCell ref="C52:D52"/>
    <mergeCell ref="C76:D76"/>
    <mergeCell ref="C89:D89"/>
  </mergeCells>
  <phoneticPr fontId="4" type="noConversion"/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D6DF-7E79-4196-8BF6-AF660F90573A}">
  <dimension ref="A1:BH101"/>
  <sheetViews>
    <sheetView tabSelected="1" topLeftCell="A25" zoomScale="70" zoomScaleNormal="70" workbookViewId="0">
      <selection activeCell="Z28" sqref="Z28"/>
    </sheetView>
  </sheetViews>
  <sheetFormatPr defaultRowHeight="14.4" x14ac:dyDescent="0.3"/>
  <cols>
    <col min="1" max="1" width="13.6640625" customWidth="1"/>
    <col min="2" max="2" width="21.109375" customWidth="1"/>
    <col min="3" max="3" width="55.88671875" customWidth="1"/>
    <col min="4" max="4" width="12" customWidth="1"/>
    <col min="5" max="5" width="10.21875" customWidth="1"/>
    <col min="6" max="6" width="20.109375" customWidth="1"/>
    <col min="7" max="8" width="6.109375" customWidth="1"/>
    <col min="9" max="19" width="6" customWidth="1"/>
    <col min="20" max="20" width="6.109375" customWidth="1"/>
    <col min="21" max="28" width="6" customWidth="1"/>
    <col min="29" max="29" width="6.109375" customWidth="1"/>
    <col min="30" max="30" width="6" customWidth="1"/>
  </cols>
  <sheetData>
    <row r="1" spans="1:60" ht="38.4" customHeight="1" thickBot="1" x14ac:dyDescent="0.35">
      <c r="A1" s="42" t="s">
        <v>3</v>
      </c>
      <c r="B1" s="42"/>
      <c r="C1" s="32" t="s">
        <v>64</v>
      </c>
      <c r="D1" s="1"/>
      <c r="E1" s="8"/>
      <c r="F1" s="9" t="s">
        <v>63</v>
      </c>
    </row>
    <row r="2" spans="1:60" ht="17.399999999999999" thickBot="1" x14ac:dyDescent="0.35">
      <c r="A2" s="42" t="s">
        <v>2</v>
      </c>
      <c r="B2" s="42"/>
      <c r="C2" s="3" t="s">
        <v>65</v>
      </c>
      <c r="D2" s="1"/>
      <c r="E2" s="10"/>
      <c r="F2" s="11" t="s">
        <v>62</v>
      </c>
    </row>
    <row r="3" spans="1:60" ht="17.399999999999999" thickBot="1" x14ac:dyDescent="0.35">
      <c r="A3" s="42" t="s">
        <v>1</v>
      </c>
      <c r="B3" s="42"/>
      <c r="C3" s="4">
        <v>45989</v>
      </c>
      <c r="D3" s="1"/>
      <c r="E3" s="12"/>
      <c r="F3" s="11" t="s">
        <v>61</v>
      </c>
    </row>
    <row r="4" spans="1:60" ht="18" customHeight="1" thickBot="1" x14ac:dyDescent="0.35">
      <c r="A4" s="42" t="s">
        <v>0</v>
      </c>
      <c r="B4" s="42"/>
      <c r="C4" s="4">
        <v>46001</v>
      </c>
      <c r="D4" s="1"/>
      <c r="E4" s="13"/>
      <c r="F4" s="11" t="s">
        <v>60</v>
      </c>
    </row>
    <row r="5" spans="1:60" ht="18" customHeight="1" thickBot="1" x14ac:dyDescent="0.35">
      <c r="A5" s="1"/>
      <c r="B5" s="1"/>
      <c r="C5" s="1"/>
      <c r="D5" s="1"/>
      <c r="E5" s="14"/>
      <c r="F5" s="15" t="s">
        <v>59</v>
      </c>
    </row>
    <row r="6" spans="1:60" ht="17.399999999999999" thickBot="1" x14ac:dyDescent="0.35">
      <c r="A6" s="1"/>
      <c r="B6" s="65" t="s">
        <v>230</v>
      </c>
      <c r="C6" s="65"/>
      <c r="D6" s="65"/>
      <c r="E6" s="66"/>
    </row>
    <row r="7" spans="1:60" ht="17.399999999999999" thickBot="1" x14ac:dyDescent="0.35">
      <c r="A7" s="1"/>
      <c r="B7" s="6" t="s">
        <v>6</v>
      </c>
      <c r="C7" s="6" t="s">
        <v>56</v>
      </c>
      <c r="D7" s="6" t="s">
        <v>11</v>
      </c>
      <c r="E7" s="6" t="s">
        <v>55</v>
      </c>
    </row>
    <row r="8" spans="1:60" ht="17.399999999999999" thickBot="1" x14ac:dyDescent="0.35">
      <c r="A8" s="1"/>
      <c r="B8" s="7">
        <v>1</v>
      </c>
      <c r="C8" s="3" t="s">
        <v>66</v>
      </c>
      <c r="D8" s="3">
        <f ca="1">SUMIF($E$16:$F$41,"Đạt",$G$16:$G$41) +SUMIF($E$16:$F$41,"*Đạt*",$G$16:$G$41)/2 -SUMIF($E$16:$F$41,"Đạt",$G$16:$G$41)/2 +SUMIF($E$16:$F$41,"All team",$G$16:$G$41)/5</f>
        <v>39</v>
      </c>
      <c r="E8" s="3">
        <f ca="1">SUMIF($E$16:$F$41,"Đạt",$H$16:$H$41) +SUMIF($E$16:$F$41,"*Đạt*",$H$16:$H$41)/2 -SUMIF($E$16:$F$41,"Đạt",$H$16:$H$41)/2 +SUMIF($E$16:$F$41,"All team",$H$16:$H$41)/5</f>
        <v>34</v>
      </c>
    </row>
    <row r="9" spans="1:60" ht="17.399999999999999" thickBot="1" x14ac:dyDescent="0.35">
      <c r="A9" s="1"/>
      <c r="B9" s="7">
        <v>2</v>
      </c>
      <c r="C9" s="3" t="s">
        <v>67</v>
      </c>
      <c r="D9" s="3">
        <f ca="1">SUMIF($E$16:$F$41,"Đức",$G$16:$G$41) +SUMIF($E$16:$F$41,"*Đức*",$G$16:$G$41)/2 -SUMIF($E$16:$F$41,"Đức",$G$16:$G$41)/2 +SUMIF($E$16:$F$41,"All team",$G$16:$G$41)/5</f>
        <v>17</v>
      </c>
      <c r="E9" s="3">
        <f ca="1">SUMIF($E$16:$F$41,"Đức",$H$16:$H$41) +SUMIF($E$16:$F$41,"*Đức*",$H$16:$H$41)/2 -SUMIF($E$16:$F$41,"Đức",$H$16:$H$41)/2 +SUMIF($E$16:$F$41,"All team",$H$16:$H$41)/5</f>
        <v>18</v>
      </c>
    </row>
    <row r="10" spans="1:60" ht="17.399999999999999" thickBot="1" x14ac:dyDescent="0.35">
      <c r="A10" s="1"/>
      <c r="B10" s="7">
        <v>3</v>
      </c>
      <c r="C10" s="3" t="s">
        <v>68</v>
      </c>
      <c r="D10" s="3">
        <f ca="1">SUMIF($E$16:$F$41,"Huy",$G$16:$G$41) +SUMIF($E$16:$F$41,"*Huy*",$G$16:$G$41)/2 -SUMIF($E$16:$F$41,"Huy",$G$16:$G$41)/2 +SUMIF($E$16:$F$41,"All team",$G$16:$G$41)/5</f>
        <v>16.5</v>
      </c>
      <c r="E10" s="3">
        <f ca="1">SUMIF($E$16:$F$41,"Huy",$H$16:$H$41) +SUMIF($E$16:$F$41,"*Huy*",$H$16:$H$41)/2 -SUMIF($E$16:$F$41,"Huy",$H$16:$H$41)/2 +SUMIF($E$16:$F$41,"All team",$H$16:$H$41)/5</f>
        <v>17</v>
      </c>
    </row>
    <row r="11" spans="1:60" ht="17.399999999999999" thickBot="1" x14ac:dyDescent="0.35">
      <c r="A11" s="1"/>
      <c r="B11" s="7">
        <v>4</v>
      </c>
      <c r="C11" s="3" t="s">
        <v>69</v>
      </c>
      <c r="D11" s="3">
        <f ca="1">SUMIF($E$16:$F$41,"Khánh",$G$16:$G$41) +SUMIF($E$16:$F$41,"*Khánh*",$G$16:$G$41)/2 -SUMIF($E$16:$F$41,"Khánh",$G$16:$G$41)/2 +SUMIF($E$16:$F$41,"All team",$G$16:$G$41)/5</f>
        <v>16.5</v>
      </c>
      <c r="E11" s="3">
        <f ca="1">SUMIF($E$16:$F$41,"Khánh",$H$16:$H$41) +SUMIF($E$16:$F$41,"*Khánh*",$H$16:$H$41)/2 -SUMIF($E$16:$F$41,"Khánh",$H$16:$H$41)/2 +SUMIF($E$16:$F$41,"All team",$H$16:$H$41)/5</f>
        <v>17</v>
      </c>
    </row>
    <row r="12" spans="1:60" ht="17.399999999999999" thickBot="1" x14ac:dyDescent="0.35">
      <c r="A12" s="1"/>
      <c r="B12" s="7">
        <v>5</v>
      </c>
      <c r="C12" s="3" t="s">
        <v>70</v>
      </c>
      <c r="D12" s="3">
        <f ca="1">SUMIF($E$16:$F$41,"Tấn",$G$16:$G$41) +SUMIF($E$16:$F$41,"*Tấn*",$G$16:$G$41)/2 -SUMIF($E$16:$F$41,"Tấn",$G$16:$G$41)/2 +SUMIF($E$16:$F$41,"All team",$G$16:$G$41)/5</f>
        <v>17</v>
      </c>
      <c r="E12" s="3">
        <f ca="1">SUMIF($E$16:$F$41,"Tấn",$H$16:$H$41) +SUMIF($E$16:$F$41,"*Tấn*",$H$16:$H$41)/2 -SUMIF($E$16:$F$41,"Tấn",$H$16:$H$41)/2 +SUMIF($E$16:$F$41,"All team",$H$16:$H$41)/5</f>
        <v>18</v>
      </c>
    </row>
    <row r="13" spans="1:60" ht="17.399999999999999" thickBot="1" x14ac:dyDescent="0.35">
      <c r="A13" s="1"/>
      <c r="B13" s="51" t="s">
        <v>12</v>
      </c>
      <c r="C13" s="51"/>
      <c r="D13" s="5">
        <f ca="1">SUM(D8:D12)</f>
        <v>106</v>
      </c>
      <c r="E13" s="5">
        <f ca="1">SUM(E8:E12)</f>
        <v>104</v>
      </c>
    </row>
    <row r="15" spans="1:60" ht="63.75" customHeight="1" x14ac:dyDescent="0.3">
      <c r="A15" s="21" t="s">
        <v>7</v>
      </c>
      <c r="B15" s="21" t="s">
        <v>8</v>
      </c>
      <c r="C15" s="67" t="s">
        <v>9</v>
      </c>
      <c r="D15" s="67"/>
      <c r="E15" s="67" t="s">
        <v>10</v>
      </c>
      <c r="F15" s="67"/>
      <c r="G15" s="17" t="s">
        <v>11</v>
      </c>
      <c r="H15" s="17" t="s">
        <v>55</v>
      </c>
      <c r="I15" s="18">
        <v>45989</v>
      </c>
      <c r="J15" s="18">
        <v>45990</v>
      </c>
      <c r="K15" s="18">
        <v>45991</v>
      </c>
      <c r="L15" s="18">
        <v>45992</v>
      </c>
      <c r="M15" s="18">
        <v>45993</v>
      </c>
      <c r="N15" s="18">
        <v>45994</v>
      </c>
      <c r="O15" s="18">
        <v>45995</v>
      </c>
      <c r="P15" s="18">
        <v>45996</v>
      </c>
      <c r="Q15" s="18">
        <v>45997</v>
      </c>
      <c r="R15" s="18">
        <v>45998</v>
      </c>
      <c r="S15" s="18">
        <v>45999</v>
      </c>
      <c r="T15" s="18">
        <v>46000</v>
      </c>
      <c r="U15" s="18">
        <v>46001</v>
      </c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6" spans="1:60" ht="16.8" x14ac:dyDescent="0.3">
      <c r="A16" s="57" t="s">
        <v>39</v>
      </c>
      <c r="B16" s="37" t="s">
        <v>13</v>
      </c>
      <c r="C16" s="37"/>
      <c r="D16" s="37"/>
      <c r="E16" s="40" t="s">
        <v>54</v>
      </c>
      <c r="F16" s="40"/>
      <c r="G16" s="19">
        <v>10</v>
      </c>
      <c r="H16" s="19">
        <v>10</v>
      </c>
      <c r="I16" s="20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</row>
    <row r="17" spans="1:21" ht="16.8" x14ac:dyDescent="0.3">
      <c r="A17" s="58"/>
      <c r="B17" s="37" t="s">
        <v>194</v>
      </c>
      <c r="C17" s="37"/>
      <c r="D17" s="37"/>
      <c r="E17" s="40" t="s">
        <v>201</v>
      </c>
      <c r="F17" s="40"/>
      <c r="G17" s="19">
        <v>2</v>
      </c>
      <c r="H17" s="19">
        <v>4</v>
      </c>
      <c r="I17" s="20">
        <v>0</v>
      </c>
      <c r="J17" s="19">
        <v>0</v>
      </c>
      <c r="K17" s="19">
        <v>0</v>
      </c>
      <c r="L17" s="19">
        <v>0</v>
      </c>
      <c r="M17" s="19">
        <v>0</v>
      </c>
      <c r="N17" s="19">
        <v>0</v>
      </c>
      <c r="O17" s="19">
        <v>0</v>
      </c>
      <c r="P17" s="19">
        <v>0</v>
      </c>
      <c r="Q17" s="19">
        <v>0</v>
      </c>
      <c r="R17" s="19">
        <v>0</v>
      </c>
      <c r="S17" s="19">
        <v>0</v>
      </c>
      <c r="T17" s="19">
        <v>0</v>
      </c>
      <c r="U17" s="19">
        <v>0</v>
      </c>
    </row>
    <row r="18" spans="1:21" ht="17.399999999999999" thickBot="1" x14ac:dyDescent="0.35">
      <c r="A18" s="58"/>
      <c r="B18" s="40"/>
      <c r="C18" s="40"/>
      <c r="D18" s="40"/>
      <c r="E18" s="40"/>
      <c r="F18" s="40"/>
      <c r="G18" s="19"/>
      <c r="H18" s="19"/>
      <c r="I18" s="14">
        <v>2</v>
      </c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ht="16.8" x14ac:dyDescent="0.3">
      <c r="A19" s="58"/>
      <c r="B19" s="37" t="s">
        <v>15</v>
      </c>
      <c r="C19" s="37"/>
      <c r="D19" s="37"/>
      <c r="E19" s="40" t="s">
        <v>202</v>
      </c>
      <c r="F19" s="40"/>
      <c r="G19" s="19">
        <v>2</v>
      </c>
      <c r="H19" s="19">
        <v>3</v>
      </c>
      <c r="I19" s="20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</row>
    <row r="20" spans="1:21" ht="17.399999999999999" thickBot="1" x14ac:dyDescent="0.35">
      <c r="A20" s="58"/>
      <c r="B20" s="40"/>
      <c r="C20" s="40"/>
      <c r="D20" s="40"/>
      <c r="E20" s="40"/>
      <c r="F20" s="40"/>
      <c r="G20" s="19"/>
      <c r="H20" s="19"/>
      <c r="I20" s="14">
        <v>1</v>
      </c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pans="1:21" ht="17.25" customHeight="1" x14ac:dyDescent="0.3">
      <c r="A21" s="58"/>
      <c r="B21" s="57" t="s">
        <v>18</v>
      </c>
      <c r="C21" s="37" t="s">
        <v>195</v>
      </c>
      <c r="D21" s="37"/>
      <c r="E21" s="40" t="s">
        <v>202</v>
      </c>
      <c r="F21" s="40"/>
      <c r="G21" s="19">
        <v>2</v>
      </c>
      <c r="H21" s="19">
        <v>2</v>
      </c>
      <c r="I21" s="19">
        <v>2</v>
      </c>
      <c r="J21" s="20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</row>
    <row r="22" spans="1:21" ht="16.8" x14ac:dyDescent="0.3">
      <c r="A22" s="58"/>
      <c r="B22" s="58"/>
      <c r="C22" s="37" t="s">
        <v>196</v>
      </c>
      <c r="D22" s="37"/>
      <c r="E22" s="40" t="s">
        <v>201</v>
      </c>
      <c r="F22" s="40"/>
      <c r="G22" s="19">
        <v>2</v>
      </c>
      <c r="H22" s="19">
        <v>2</v>
      </c>
      <c r="I22" s="19">
        <v>2</v>
      </c>
      <c r="J22" s="20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</row>
    <row r="23" spans="1:21" ht="16.8" x14ac:dyDescent="0.3">
      <c r="A23" s="58"/>
      <c r="B23" s="59"/>
      <c r="C23" s="37" t="s">
        <v>52</v>
      </c>
      <c r="D23" s="37"/>
      <c r="E23" s="40" t="s">
        <v>54</v>
      </c>
      <c r="F23" s="40"/>
      <c r="G23" s="19">
        <v>10</v>
      </c>
      <c r="H23" s="19">
        <v>10</v>
      </c>
      <c r="I23" s="19">
        <v>10</v>
      </c>
      <c r="J23" s="20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</row>
    <row r="24" spans="1:21" ht="16.8" x14ac:dyDescent="0.3">
      <c r="A24" s="58"/>
      <c r="B24" s="57" t="s">
        <v>23</v>
      </c>
      <c r="C24" s="37" t="s">
        <v>197</v>
      </c>
      <c r="D24" s="37"/>
      <c r="E24" s="40" t="s">
        <v>202</v>
      </c>
      <c r="F24" s="40"/>
      <c r="G24" s="19">
        <v>1</v>
      </c>
      <c r="H24" s="19">
        <v>1</v>
      </c>
      <c r="I24" s="19">
        <v>1</v>
      </c>
      <c r="J24" s="19">
        <v>1</v>
      </c>
      <c r="K24" s="20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</row>
    <row r="25" spans="1:21" ht="16.8" x14ac:dyDescent="0.3">
      <c r="A25" s="58"/>
      <c r="B25" s="58"/>
      <c r="C25" s="37" t="s">
        <v>198</v>
      </c>
      <c r="D25" s="37"/>
      <c r="E25" s="40" t="s">
        <v>201</v>
      </c>
      <c r="F25" s="40"/>
      <c r="G25" s="19">
        <v>2</v>
      </c>
      <c r="H25" s="19">
        <v>2</v>
      </c>
      <c r="I25" s="19">
        <v>2</v>
      </c>
      <c r="J25" s="19">
        <v>2</v>
      </c>
      <c r="K25" s="20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</row>
    <row r="26" spans="1:21" ht="16.8" x14ac:dyDescent="0.3">
      <c r="A26" s="58"/>
      <c r="B26" s="59"/>
      <c r="C26" s="37" t="s">
        <v>53</v>
      </c>
      <c r="D26" s="37"/>
      <c r="E26" s="40" t="s">
        <v>54</v>
      </c>
      <c r="F26" s="40"/>
      <c r="G26" s="19">
        <v>10</v>
      </c>
      <c r="H26" s="19">
        <v>10</v>
      </c>
      <c r="I26" s="19">
        <v>10</v>
      </c>
      <c r="J26" s="19">
        <v>10</v>
      </c>
      <c r="K26" s="20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</row>
    <row r="27" spans="1:21" ht="16.8" x14ac:dyDescent="0.3">
      <c r="A27" s="58"/>
      <c r="B27" s="60" t="s">
        <v>27</v>
      </c>
      <c r="C27" s="37" t="s">
        <v>231</v>
      </c>
      <c r="D27" s="37"/>
      <c r="E27" s="40" t="s">
        <v>132</v>
      </c>
      <c r="F27" s="40"/>
      <c r="G27" s="19">
        <v>5</v>
      </c>
      <c r="H27" s="19">
        <v>5</v>
      </c>
      <c r="I27" s="19">
        <v>5</v>
      </c>
      <c r="J27" s="19">
        <v>5</v>
      </c>
      <c r="K27" s="19">
        <v>5</v>
      </c>
      <c r="L27" s="19">
        <v>5</v>
      </c>
      <c r="M27" s="19">
        <v>5</v>
      </c>
      <c r="N27" s="20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</row>
    <row r="28" spans="1:21" ht="16.8" x14ac:dyDescent="0.3">
      <c r="A28" s="58"/>
      <c r="B28" s="61"/>
      <c r="C28" s="37" t="s">
        <v>200</v>
      </c>
      <c r="D28" s="37"/>
      <c r="E28" s="40" t="s">
        <v>132</v>
      </c>
      <c r="F28" s="40"/>
      <c r="G28" s="19">
        <v>8</v>
      </c>
      <c r="H28" s="19">
        <v>5</v>
      </c>
      <c r="I28" s="19">
        <v>5</v>
      </c>
      <c r="J28" s="19">
        <v>5</v>
      </c>
      <c r="K28" s="19">
        <v>5</v>
      </c>
      <c r="L28" s="19">
        <v>5</v>
      </c>
      <c r="M28" s="19">
        <v>5</v>
      </c>
      <c r="N28" s="20">
        <v>0</v>
      </c>
      <c r="O28" s="36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</row>
    <row r="29" spans="1:21" ht="16.8" x14ac:dyDescent="0.3">
      <c r="A29" s="58"/>
      <c r="B29" s="61"/>
      <c r="C29" s="63"/>
      <c r="D29" s="69"/>
      <c r="E29" s="63"/>
      <c r="F29" s="69"/>
      <c r="G29" s="19"/>
      <c r="H29" s="19"/>
      <c r="I29" s="19"/>
      <c r="J29" s="19"/>
      <c r="K29" s="19"/>
      <c r="L29" s="19"/>
      <c r="M29" s="19"/>
      <c r="N29" s="12">
        <v>3</v>
      </c>
      <c r="O29" s="19"/>
      <c r="P29" s="19"/>
      <c r="Q29" s="19"/>
      <c r="R29" s="19"/>
      <c r="S29" s="19"/>
      <c r="T29" s="19"/>
      <c r="U29" s="19"/>
    </row>
    <row r="30" spans="1:21" ht="16.8" x14ac:dyDescent="0.3">
      <c r="A30" s="58"/>
      <c r="B30" s="61"/>
      <c r="C30" s="37" t="s">
        <v>232</v>
      </c>
      <c r="D30" s="37"/>
      <c r="E30" s="40" t="s">
        <v>132</v>
      </c>
      <c r="F30" s="40"/>
      <c r="G30" s="19">
        <v>5</v>
      </c>
      <c r="H30" s="19">
        <v>5</v>
      </c>
      <c r="I30" s="19">
        <v>5</v>
      </c>
      <c r="J30" s="19">
        <v>5</v>
      </c>
      <c r="K30" s="19">
        <v>5</v>
      </c>
      <c r="L30" s="19">
        <v>5</v>
      </c>
      <c r="M30" s="19">
        <v>5</v>
      </c>
      <c r="N30" s="19">
        <v>5</v>
      </c>
      <c r="O30" s="19">
        <v>5</v>
      </c>
      <c r="P30" s="19">
        <v>5</v>
      </c>
      <c r="Q30" s="20">
        <v>0</v>
      </c>
      <c r="R30" s="19">
        <v>0</v>
      </c>
      <c r="S30" s="19">
        <v>0</v>
      </c>
      <c r="T30" s="19">
        <v>0</v>
      </c>
      <c r="U30" s="19">
        <v>0</v>
      </c>
    </row>
    <row r="31" spans="1:21" ht="16.8" x14ac:dyDescent="0.3">
      <c r="A31" s="58"/>
      <c r="B31" s="61"/>
      <c r="C31" s="37" t="s">
        <v>199</v>
      </c>
      <c r="D31" s="37"/>
      <c r="E31" s="40" t="s">
        <v>132</v>
      </c>
      <c r="F31" s="40"/>
      <c r="G31" s="19">
        <v>7</v>
      </c>
      <c r="H31" s="19">
        <v>5</v>
      </c>
      <c r="I31" s="19">
        <v>5</v>
      </c>
      <c r="J31" s="19">
        <v>5</v>
      </c>
      <c r="K31" s="19">
        <v>5</v>
      </c>
      <c r="L31" s="19">
        <v>5</v>
      </c>
      <c r="M31" s="19">
        <v>5</v>
      </c>
      <c r="N31" s="19">
        <v>5</v>
      </c>
      <c r="O31" s="19">
        <v>5</v>
      </c>
      <c r="P31" s="19">
        <v>5</v>
      </c>
      <c r="Q31" s="20">
        <v>0</v>
      </c>
      <c r="S31" s="19">
        <v>0</v>
      </c>
      <c r="T31" s="19">
        <v>0</v>
      </c>
      <c r="U31" s="19">
        <v>0</v>
      </c>
    </row>
    <row r="32" spans="1:21" ht="16.8" x14ac:dyDescent="0.3">
      <c r="A32" s="58"/>
      <c r="B32" s="61"/>
      <c r="C32" s="63"/>
      <c r="D32" s="69"/>
      <c r="E32" s="63"/>
      <c r="F32" s="6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2">
        <v>2</v>
      </c>
      <c r="R32" s="19"/>
      <c r="S32" s="19"/>
      <c r="T32" s="19"/>
      <c r="U32" s="19"/>
    </row>
    <row r="33" spans="1:21" ht="16.8" x14ac:dyDescent="0.3">
      <c r="A33" s="58"/>
      <c r="B33" s="62"/>
      <c r="C33" s="37" t="s">
        <v>26</v>
      </c>
      <c r="D33" s="37"/>
      <c r="E33" s="40" t="s">
        <v>54</v>
      </c>
      <c r="F33" s="40"/>
      <c r="G33" s="19">
        <v>10</v>
      </c>
      <c r="H33" s="19">
        <v>10</v>
      </c>
      <c r="I33" s="19">
        <v>10</v>
      </c>
      <c r="J33" s="19">
        <v>10</v>
      </c>
      <c r="K33" s="19">
        <v>10</v>
      </c>
      <c r="L33" s="19">
        <v>10</v>
      </c>
      <c r="M33" s="19">
        <v>10</v>
      </c>
      <c r="N33" s="19">
        <v>10</v>
      </c>
      <c r="O33" s="19">
        <v>10</v>
      </c>
      <c r="P33" s="19">
        <v>10</v>
      </c>
      <c r="Q33" s="20">
        <v>0</v>
      </c>
      <c r="R33" s="19">
        <v>0</v>
      </c>
      <c r="S33" s="19">
        <v>0</v>
      </c>
      <c r="T33" s="19">
        <v>0</v>
      </c>
      <c r="U33" s="19">
        <v>0</v>
      </c>
    </row>
    <row r="34" spans="1:21" ht="16.8" x14ac:dyDescent="0.3">
      <c r="A34" s="58"/>
      <c r="B34" s="57" t="s">
        <v>30</v>
      </c>
      <c r="C34" s="37" t="s">
        <v>203</v>
      </c>
      <c r="D34" s="37"/>
      <c r="E34" s="40" t="s">
        <v>202</v>
      </c>
      <c r="F34" s="40"/>
      <c r="G34" s="19">
        <v>5</v>
      </c>
      <c r="H34" s="19">
        <v>5</v>
      </c>
      <c r="I34" s="19">
        <v>5</v>
      </c>
      <c r="J34" s="19">
        <v>5</v>
      </c>
      <c r="K34" s="19">
        <v>5</v>
      </c>
      <c r="L34" s="19">
        <v>5</v>
      </c>
      <c r="M34" s="19">
        <v>5</v>
      </c>
      <c r="N34" s="19">
        <v>5</v>
      </c>
      <c r="O34" s="19">
        <v>5</v>
      </c>
      <c r="P34" s="19">
        <v>5</v>
      </c>
      <c r="Q34" s="19">
        <v>5</v>
      </c>
      <c r="R34" s="20">
        <v>0</v>
      </c>
      <c r="S34" s="19">
        <v>0</v>
      </c>
      <c r="T34" s="19">
        <v>0</v>
      </c>
      <c r="U34" s="19">
        <v>0</v>
      </c>
    </row>
    <row r="35" spans="1:21" ht="16.8" x14ac:dyDescent="0.3">
      <c r="A35" s="58"/>
      <c r="B35" s="59"/>
      <c r="C35" s="37" t="s">
        <v>204</v>
      </c>
      <c r="D35" s="37"/>
      <c r="E35" s="40" t="s">
        <v>201</v>
      </c>
      <c r="F35" s="40"/>
      <c r="G35" s="19">
        <v>5</v>
      </c>
      <c r="H35" s="19">
        <v>5</v>
      </c>
      <c r="I35" s="19">
        <v>5</v>
      </c>
      <c r="J35" s="19">
        <v>5</v>
      </c>
      <c r="K35" s="19">
        <v>5</v>
      </c>
      <c r="L35" s="19">
        <v>5</v>
      </c>
      <c r="M35" s="19">
        <v>5</v>
      </c>
      <c r="N35" s="19">
        <v>5</v>
      </c>
      <c r="O35" s="19">
        <v>5</v>
      </c>
      <c r="P35" s="19">
        <v>5</v>
      </c>
      <c r="Q35" s="19">
        <v>5</v>
      </c>
      <c r="R35" s="20">
        <v>0</v>
      </c>
      <c r="S35" s="19">
        <v>0</v>
      </c>
      <c r="T35" s="19">
        <v>0</v>
      </c>
      <c r="U35" s="19">
        <v>0</v>
      </c>
    </row>
    <row r="36" spans="1:21" ht="16.8" x14ac:dyDescent="0.3">
      <c r="A36" s="58"/>
      <c r="B36" s="57" t="s">
        <v>33</v>
      </c>
      <c r="C36" s="37" t="s">
        <v>205</v>
      </c>
      <c r="D36" s="37"/>
      <c r="E36" s="40" t="s">
        <v>132</v>
      </c>
      <c r="F36" s="40"/>
      <c r="G36" s="19">
        <v>2</v>
      </c>
      <c r="H36" s="19">
        <v>2</v>
      </c>
      <c r="I36" s="19">
        <v>2</v>
      </c>
      <c r="J36" s="19">
        <v>2</v>
      </c>
      <c r="K36" s="19">
        <v>2</v>
      </c>
      <c r="L36" s="19">
        <v>2</v>
      </c>
      <c r="M36" s="19">
        <v>2</v>
      </c>
      <c r="N36" s="19">
        <v>2</v>
      </c>
      <c r="O36" s="19">
        <v>2</v>
      </c>
      <c r="P36" s="19">
        <v>2</v>
      </c>
      <c r="Q36" s="19">
        <v>2</v>
      </c>
      <c r="R36" s="19">
        <v>2</v>
      </c>
      <c r="S36" s="20">
        <v>0</v>
      </c>
      <c r="T36" s="19">
        <v>0</v>
      </c>
      <c r="U36" s="19">
        <v>0</v>
      </c>
    </row>
    <row r="37" spans="1:21" ht="16.8" x14ac:dyDescent="0.3">
      <c r="A37" s="58"/>
      <c r="B37" s="59"/>
      <c r="C37" s="37" t="s">
        <v>207</v>
      </c>
      <c r="D37" s="37"/>
      <c r="E37" s="40" t="s">
        <v>132</v>
      </c>
      <c r="F37" s="40"/>
      <c r="G37" s="19">
        <v>2</v>
      </c>
      <c r="H37" s="19">
        <v>2</v>
      </c>
      <c r="I37" s="19">
        <v>2</v>
      </c>
      <c r="J37" s="19">
        <v>2</v>
      </c>
      <c r="K37" s="19">
        <v>2</v>
      </c>
      <c r="L37" s="19">
        <v>2</v>
      </c>
      <c r="M37" s="19">
        <v>2</v>
      </c>
      <c r="N37" s="19">
        <v>2</v>
      </c>
      <c r="O37" s="19">
        <v>2</v>
      </c>
      <c r="P37" s="19">
        <v>2</v>
      </c>
      <c r="Q37" s="19">
        <v>2</v>
      </c>
      <c r="R37" s="19">
        <v>2</v>
      </c>
      <c r="S37" s="20">
        <v>0</v>
      </c>
      <c r="T37" s="19">
        <v>0</v>
      </c>
      <c r="U37" s="19">
        <v>0</v>
      </c>
    </row>
    <row r="38" spans="1:21" ht="16.8" x14ac:dyDescent="0.3">
      <c r="A38" s="58"/>
      <c r="B38" s="57" t="s">
        <v>42</v>
      </c>
      <c r="C38" s="37" t="s">
        <v>206</v>
      </c>
      <c r="D38" s="37"/>
      <c r="E38" s="40" t="s">
        <v>202</v>
      </c>
      <c r="F38" s="40"/>
      <c r="G38" s="19">
        <v>3</v>
      </c>
      <c r="H38" s="19">
        <v>3</v>
      </c>
      <c r="I38" s="19">
        <v>3</v>
      </c>
      <c r="J38" s="19">
        <v>3</v>
      </c>
      <c r="K38" s="19">
        <v>3</v>
      </c>
      <c r="L38" s="19">
        <v>3</v>
      </c>
      <c r="M38" s="19">
        <v>3</v>
      </c>
      <c r="N38" s="19">
        <v>3</v>
      </c>
      <c r="O38" s="19">
        <v>3</v>
      </c>
      <c r="P38" s="19">
        <v>3</v>
      </c>
      <c r="Q38" s="19">
        <v>3</v>
      </c>
      <c r="R38" s="19">
        <v>3</v>
      </c>
      <c r="S38" s="19">
        <v>3</v>
      </c>
      <c r="T38" s="20">
        <v>0</v>
      </c>
      <c r="U38" s="19">
        <v>0</v>
      </c>
    </row>
    <row r="39" spans="1:21" ht="16.8" x14ac:dyDescent="0.3">
      <c r="A39" s="58"/>
      <c r="B39" s="59"/>
      <c r="C39" s="37" t="s">
        <v>208</v>
      </c>
      <c r="D39" s="37"/>
      <c r="E39" s="40" t="s">
        <v>201</v>
      </c>
      <c r="F39" s="40"/>
      <c r="G39" s="19">
        <v>3</v>
      </c>
      <c r="H39" s="19">
        <v>3</v>
      </c>
      <c r="I39" s="19">
        <v>3</v>
      </c>
      <c r="J39" s="19">
        <v>3</v>
      </c>
      <c r="K39" s="19">
        <v>3</v>
      </c>
      <c r="L39" s="19">
        <v>3</v>
      </c>
      <c r="M39" s="19">
        <v>3</v>
      </c>
      <c r="N39" s="19">
        <v>3</v>
      </c>
      <c r="O39" s="19">
        <v>3</v>
      </c>
      <c r="P39" s="19">
        <v>3</v>
      </c>
      <c r="Q39" s="19">
        <v>3</v>
      </c>
      <c r="R39" s="19">
        <v>3</v>
      </c>
      <c r="S39" s="19">
        <v>3</v>
      </c>
      <c r="T39" s="20">
        <v>0</v>
      </c>
      <c r="U39" s="19">
        <v>0</v>
      </c>
    </row>
    <row r="40" spans="1:21" ht="16.8" x14ac:dyDescent="0.3">
      <c r="A40" s="58"/>
      <c r="B40" s="56" t="s">
        <v>227</v>
      </c>
      <c r="C40" s="37" t="s">
        <v>228</v>
      </c>
      <c r="D40" s="37"/>
      <c r="E40" s="40" t="s">
        <v>54</v>
      </c>
      <c r="F40" s="40"/>
      <c r="G40" s="19">
        <v>5</v>
      </c>
      <c r="H40" s="19">
        <v>5</v>
      </c>
      <c r="I40" s="19">
        <v>5</v>
      </c>
      <c r="J40" s="19">
        <v>5</v>
      </c>
      <c r="K40" s="19">
        <v>5</v>
      </c>
      <c r="L40" s="19">
        <v>5</v>
      </c>
      <c r="M40" s="19">
        <v>5</v>
      </c>
      <c r="N40" s="19">
        <v>5</v>
      </c>
      <c r="O40" s="19">
        <v>5</v>
      </c>
      <c r="P40" s="19">
        <v>5</v>
      </c>
      <c r="Q40" s="19">
        <v>5</v>
      </c>
      <c r="R40" s="19">
        <v>5</v>
      </c>
      <c r="S40" s="19">
        <v>5</v>
      </c>
      <c r="T40" s="19">
        <v>5</v>
      </c>
      <c r="U40" s="20">
        <v>0</v>
      </c>
    </row>
    <row r="41" spans="1:21" ht="16.8" x14ac:dyDescent="0.3">
      <c r="A41" s="59"/>
      <c r="B41" s="56"/>
      <c r="C41" s="37" t="s">
        <v>229</v>
      </c>
      <c r="D41" s="37"/>
      <c r="E41" s="40" t="s">
        <v>54</v>
      </c>
      <c r="F41" s="40"/>
      <c r="G41" s="19">
        <v>5</v>
      </c>
      <c r="H41" s="19">
        <v>5</v>
      </c>
      <c r="I41" s="19">
        <v>5</v>
      </c>
      <c r="J41" s="19">
        <v>5</v>
      </c>
      <c r="K41" s="19">
        <v>5</v>
      </c>
      <c r="L41" s="19">
        <v>5</v>
      </c>
      <c r="M41" s="19">
        <v>5</v>
      </c>
      <c r="N41" s="19">
        <v>5</v>
      </c>
      <c r="O41" s="19">
        <v>5</v>
      </c>
      <c r="P41" s="19">
        <v>5</v>
      </c>
      <c r="Q41" s="19">
        <v>5</v>
      </c>
      <c r="R41" s="19">
        <v>5</v>
      </c>
      <c r="S41" s="19">
        <v>5</v>
      </c>
      <c r="T41" s="19">
        <v>5</v>
      </c>
      <c r="U41" s="20">
        <v>0</v>
      </c>
    </row>
    <row r="42" spans="1:21" ht="16.8" x14ac:dyDescent="0.3">
      <c r="B42" s="68" t="s">
        <v>12</v>
      </c>
      <c r="C42" s="68"/>
      <c r="D42" s="68"/>
      <c r="E42" s="54" t="s">
        <v>11</v>
      </c>
      <c r="F42" s="54"/>
      <c r="G42" s="40">
        <f>SUM(G16:G41)</f>
        <v>106</v>
      </c>
      <c r="H42" s="40"/>
      <c r="I42" s="19">
        <f>SUM(I16:I17)+I19+SUM(I21:I41)-I18-I20</f>
        <v>84</v>
      </c>
      <c r="J42" s="19">
        <f>SUM(J16:J41)</f>
        <v>73</v>
      </c>
      <c r="K42" s="19">
        <f>SUM(K16:K41)</f>
        <v>60</v>
      </c>
      <c r="L42" s="19">
        <f>SUM(L16:L41)</f>
        <v>60</v>
      </c>
      <c r="M42" s="19">
        <f>SUM(M16:M41)</f>
        <v>60</v>
      </c>
      <c r="N42" s="19">
        <f>SUM(N16:N28)+SUM(N30:N41)+N29</f>
        <v>53</v>
      </c>
      <c r="O42" s="19">
        <f>SUM(O16:O41)</f>
        <v>50</v>
      </c>
      <c r="P42" s="19">
        <f>SUM(P16:P41)</f>
        <v>50</v>
      </c>
      <c r="Q42" s="19">
        <f>SUM(Q16:Q31)+SUM(Q33:Q41)+Q32</f>
        <v>32</v>
      </c>
      <c r="R42" s="19">
        <f>SUM(R16:R41)</f>
        <v>20</v>
      </c>
      <c r="S42" s="19">
        <f>SUM(S16:S41)</f>
        <v>16</v>
      </c>
      <c r="T42" s="19">
        <f>SUM(T16:T41)</f>
        <v>10</v>
      </c>
      <c r="U42" s="19">
        <f>SUM(U16:U41)</f>
        <v>0</v>
      </c>
    </row>
    <row r="43" spans="1:21" ht="16.8" x14ac:dyDescent="0.3">
      <c r="B43" s="68"/>
      <c r="C43" s="68"/>
      <c r="D43" s="68"/>
      <c r="E43" s="54" t="s">
        <v>55</v>
      </c>
      <c r="F43" s="54"/>
      <c r="G43" s="40">
        <f>SUM(H16:H41)</f>
        <v>104</v>
      </c>
      <c r="H43" s="40"/>
      <c r="I43" s="19">
        <f>SUM(I16:I17)+I19+SUM(I21:I41)</f>
        <v>87</v>
      </c>
      <c r="J43" s="19">
        <f t="shared" ref="J43:T43" si="0">SUM(J16:J41)</f>
        <v>73</v>
      </c>
      <c r="K43" s="19">
        <f t="shared" si="0"/>
        <v>60</v>
      </c>
      <c r="L43" s="19">
        <f t="shared" si="0"/>
        <v>60</v>
      </c>
      <c r="M43" s="19">
        <f t="shared" si="0"/>
        <v>60</v>
      </c>
      <c r="N43" s="19">
        <f>SUM(N16:N28)+SUM(N30:N41)</f>
        <v>50</v>
      </c>
      <c r="O43" s="19">
        <f t="shared" si="0"/>
        <v>50</v>
      </c>
      <c r="P43" s="19">
        <f t="shared" si="0"/>
        <v>50</v>
      </c>
      <c r="Q43" s="19">
        <f>SUM(Q16:Q31)+SUM(Q33:Q41)</f>
        <v>30</v>
      </c>
      <c r="R43" s="19">
        <f t="shared" si="0"/>
        <v>20</v>
      </c>
      <c r="S43" s="19">
        <f t="shared" si="0"/>
        <v>16</v>
      </c>
      <c r="T43" s="19">
        <f t="shared" si="0"/>
        <v>10</v>
      </c>
      <c r="U43" s="19">
        <f>SUM(U17:U41)</f>
        <v>0</v>
      </c>
    </row>
    <row r="77" ht="14.4" customHeight="1" x14ac:dyDescent="0.3"/>
    <row r="78" ht="14.4" customHeight="1" x14ac:dyDescent="0.3"/>
    <row r="79" ht="14.4" customHeight="1" x14ac:dyDescent="0.3"/>
    <row r="80" ht="14.4" customHeight="1" x14ac:dyDescent="0.3"/>
    <row r="101" spans="3:4" x14ac:dyDescent="0.3">
      <c r="C101" s="70"/>
      <c r="D101" s="70"/>
    </row>
  </sheetData>
  <mergeCells count="74">
    <mergeCell ref="G43:H43"/>
    <mergeCell ref="C101:D101"/>
    <mergeCell ref="E31:F31"/>
    <mergeCell ref="E37:F37"/>
    <mergeCell ref="E40:F40"/>
    <mergeCell ref="C41:D41"/>
    <mergeCell ref="E41:F41"/>
    <mergeCell ref="E42:F42"/>
    <mergeCell ref="G42:H42"/>
    <mergeCell ref="E38:F38"/>
    <mergeCell ref="E39:F39"/>
    <mergeCell ref="E33:F33"/>
    <mergeCell ref="E34:F34"/>
    <mergeCell ref="E25:F25"/>
    <mergeCell ref="C29:D29"/>
    <mergeCell ref="E26:F26"/>
    <mergeCell ref="E29:F29"/>
    <mergeCell ref="B36:B37"/>
    <mergeCell ref="B27:B33"/>
    <mergeCell ref="C26:D26"/>
    <mergeCell ref="C27:D27"/>
    <mergeCell ref="C28:D28"/>
    <mergeCell ref="E19:F19"/>
    <mergeCell ref="B20:D20"/>
    <mergeCell ref="E20:F20"/>
    <mergeCell ref="C24:D24"/>
    <mergeCell ref="E24:F24"/>
    <mergeCell ref="E43:F43"/>
    <mergeCell ref="C33:D33"/>
    <mergeCell ref="C34:D34"/>
    <mergeCell ref="C35:D35"/>
    <mergeCell ref="E32:F32"/>
    <mergeCell ref="B42:D43"/>
    <mergeCell ref="B40:B41"/>
    <mergeCell ref="C40:D40"/>
    <mergeCell ref="B34:B35"/>
    <mergeCell ref="E35:F35"/>
    <mergeCell ref="E36:F36"/>
    <mergeCell ref="C32:D32"/>
    <mergeCell ref="E15:F15"/>
    <mergeCell ref="B16:D16"/>
    <mergeCell ref="E16:F16"/>
    <mergeCell ref="B17:D17"/>
    <mergeCell ref="E17:F17"/>
    <mergeCell ref="E18:F18"/>
    <mergeCell ref="C38:D38"/>
    <mergeCell ref="C39:D39"/>
    <mergeCell ref="E27:F27"/>
    <mergeCell ref="E28:F28"/>
    <mergeCell ref="E30:F30"/>
    <mergeCell ref="C30:D30"/>
    <mergeCell ref="C31:D31"/>
    <mergeCell ref="C23:D23"/>
    <mergeCell ref="C36:D36"/>
    <mergeCell ref="C37:D37"/>
    <mergeCell ref="C21:D21"/>
    <mergeCell ref="E21:F21"/>
    <mergeCell ref="C22:D22"/>
    <mergeCell ref="E22:F22"/>
    <mergeCell ref="E23:F23"/>
    <mergeCell ref="A1:B1"/>
    <mergeCell ref="A2:B2"/>
    <mergeCell ref="A3:B3"/>
    <mergeCell ref="A4:B4"/>
    <mergeCell ref="B6:E6"/>
    <mergeCell ref="B13:C13"/>
    <mergeCell ref="B21:B23"/>
    <mergeCell ref="B24:B26"/>
    <mergeCell ref="A16:A41"/>
    <mergeCell ref="C15:D15"/>
    <mergeCell ref="B18:D18"/>
    <mergeCell ref="B38:B39"/>
    <mergeCell ref="B19:D19"/>
    <mergeCell ref="C25:D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G12" sqref="G12"/>
    </sheetView>
  </sheetViews>
  <sheetFormatPr defaultRowHeight="14.4" x14ac:dyDescent="0.3"/>
  <cols>
    <col min="2" max="11" width="10" customWidth="1"/>
  </cols>
  <sheetData>
    <row r="1" spans="1:11" ht="16.8" x14ac:dyDescent="0.3">
      <c r="A1" s="73" t="s">
        <v>57</v>
      </c>
      <c r="B1" s="74"/>
      <c r="C1" s="74"/>
      <c r="D1" s="74"/>
      <c r="E1" s="74"/>
      <c r="F1" s="74"/>
      <c r="G1" s="74"/>
      <c r="H1" s="74"/>
      <c r="I1" s="74"/>
      <c r="J1" s="74"/>
      <c r="K1" s="75"/>
    </row>
    <row r="2" spans="1:11" ht="16.8" x14ac:dyDescent="0.3">
      <c r="A2" s="76"/>
      <c r="B2" s="77" t="s">
        <v>132</v>
      </c>
      <c r="C2" s="77"/>
      <c r="D2" s="77" t="s">
        <v>128</v>
      </c>
      <c r="E2" s="77"/>
      <c r="F2" s="77" t="s">
        <v>130</v>
      </c>
      <c r="G2" s="77"/>
      <c r="H2" s="77" t="s">
        <v>129</v>
      </c>
      <c r="I2" s="77"/>
      <c r="J2" s="77" t="s">
        <v>131</v>
      </c>
      <c r="K2" s="78"/>
    </row>
    <row r="3" spans="1:11" ht="16.8" x14ac:dyDescent="0.3">
      <c r="A3" s="76"/>
      <c r="B3" s="22" t="s">
        <v>11</v>
      </c>
      <c r="C3" s="22" t="s">
        <v>55</v>
      </c>
      <c r="D3" s="22" t="s">
        <v>11</v>
      </c>
      <c r="E3" s="22" t="s">
        <v>55</v>
      </c>
      <c r="F3" s="22" t="s">
        <v>11</v>
      </c>
      <c r="G3" s="22" t="s">
        <v>55</v>
      </c>
      <c r="H3" s="22" t="s">
        <v>11</v>
      </c>
      <c r="I3" s="22" t="s">
        <v>55</v>
      </c>
      <c r="J3" s="22" t="s">
        <v>11</v>
      </c>
      <c r="K3" s="23" t="s">
        <v>55</v>
      </c>
    </row>
    <row r="4" spans="1:11" ht="16.8" x14ac:dyDescent="0.3">
      <c r="A4" s="26" t="s">
        <v>4</v>
      </c>
      <c r="B4" s="24">
        <f ca="1">'Sprint 1'!$D$8</f>
        <v>73.3</v>
      </c>
      <c r="C4" s="24">
        <f ca="1">'Sprint 1'!$E$8</f>
        <v>70.5</v>
      </c>
      <c r="D4" s="24">
        <f ca="1">'Sprint 1'!$D$9</f>
        <v>40.299999999999997</v>
      </c>
      <c r="E4" s="24">
        <f ca="1">'Sprint 1'!$E$9</f>
        <v>41</v>
      </c>
      <c r="F4" s="24">
        <f ca="1">'Sprint 1'!$D$10</f>
        <v>45.3</v>
      </c>
      <c r="G4" s="24">
        <f ca="1">'Sprint 1'!$E$10</f>
        <v>47.5</v>
      </c>
      <c r="H4" s="24">
        <f ca="1">'Sprint 1'!$D$11</f>
        <v>32.799999999999997</v>
      </c>
      <c r="I4" s="24">
        <f ca="1">'Sprint 1'!$E$11</f>
        <v>33.5</v>
      </c>
      <c r="J4" s="24">
        <f ca="1">'Sprint 1'!$D$12</f>
        <v>37.799999999999997</v>
      </c>
      <c r="K4" s="24">
        <f ca="1">'Sprint 1'!$E$12</f>
        <v>38.5</v>
      </c>
    </row>
    <row r="5" spans="1:11" ht="16.8" x14ac:dyDescent="0.3">
      <c r="A5" s="26" t="s">
        <v>39</v>
      </c>
      <c r="B5" s="24">
        <f ca="1">'Sprint 2'!$D$8</f>
        <v>82.5</v>
      </c>
      <c r="C5" s="24">
        <f ca="1">'Sprint 2'!$E$8</f>
        <v>79.5</v>
      </c>
      <c r="D5" s="24">
        <f ca="1">'Sprint 2'!$D$9</f>
        <v>37.5</v>
      </c>
      <c r="E5" s="24">
        <f ca="1">'Sprint 2'!$E$9</f>
        <v>35</v>
      </c>
      <c r="F5" s="24">
        <f ca="1">'Sprint 2'!$D$10</f>
        <v>35.5</v>
      </c>
      <c r="G5" s="24">
        <f ca="1">'Sprint 2'!$E$10</f>
        <v>36</v>
      </c>
      <c r="H5" s="24">
        <f ca="1">'Sprint 2'!$D$11</f>
        <v>38</v>
      </c>
      <c r="I5" s="24">
        <f ca="1">'Sprint 2'!$E$11</f>
        <v>35</v>
      </c>
      <c r="J5" s="24">
        <f ca="1">'Sprint 2'!$D$12</f>
        <v>31</v>
      </c>
      <c r="K5" s="24">
        <f ca="1">'Sprint 2'!$E$12</f>
        <v>31.5</v>
      </c>
    </row>
    <row r="6" spans="1:11" ht="16.8" x14ac:dyDescent="0.3">
      <c r="A6" s="26" t="s">
        <v>65</v>
      </c>
      <c r="B6" s="24">
        <f ca="1">'Sprint 2'!$D$8</f>
        <v>82.5</v>
      </c>
      <c r="C6" s="24">
        <f ca="1">'Sprint 2'!$E$8</f>
        <v>79.5</v>
      </c>
      <c r="D6" s="24">
        <f ca="1">'Sprint 2'!$D$9</f>
        <v>37.5</v>
      </c>
      <c r="E6" s="24">
        <f ca="1">'Sprint 2'!$E$9</f>
        <v>35</v>
      </c>
      <c r="F6" s="24">
        <f ca="1">'Sprint 2'!$D$10</f>
        <v>35.5</v>
      </c>
      <c r="G6" s="24">
        <f ca="1">'Sprint 2'!$E$10</f>
        <v>36</v>
      </c>
      <c r="H6" s="24">
        <f ca="1">'Sprint 2'!$D$11</f>
        <v>38</v>
      </c>
      <c r="I6" s="24">
        <f ca="1">'Sprint 2'!$E$11</f>
        <v>35</v>
      </c>
      <c r="J6" s="24">
        <f ca="1">'Sprint 2'!$D$12</f>
        <v>31</v>
      </c>
      <c r="K6" s="24">
        <f ca="1">'Sprint 2'!$E$12</f>
        <v>31.5</v>
      </c>
    </row>
    <row r="7" spans="1:11" ht="17.399999999999999" thickBot="1" x14ac:dyDescent="0.35">
      <c r="A7" s="27" t="s">
        <v>12</v>
      </c>
      <c r="B7" s="25">
        <f t="shared" ref="B7:K7" ca="1" si="0">SUM(B4:B5)</f>
        <v>155.80000000000001</v>
      </c>
      <c r="C7" s="25">
        <f t="shared" ca="1" si="0"/>
        <v>150</v>
      </c>
      <c r="D7" s="25">
        <f t="shared" ca="1" si="0"/>
        <v>77.8</v>
      </c>
      <c r="E7" s="25">
        <f t="shared" ca="1" si="0"/>
        <v>76</v>
      </c>
      <c r="F7" s="25">
        <f t="shared" ca="1" si="0"/>
        <v>80.8</v>
      </c>
      <c r="G7" s="25">
        <f t="shared" ca="1" si="0"/>
        <v>83.5</v>
      </c>
      <c r="H7" s="25">
        <f t="shared" ca="1" si="0"/>
        <v>70.8</v>
      </c>
      <c r="I7" s="25">
        <f t="shared" ca="1" si="0"/>
        <v>68.5</v>
      </c>
      <c r="J7" s="25">
        <f t="shared" ca="1" si="0"/>
        <v>68.8</v>
      </c>
      <c r="K7" s="25">
        <f t="shared" ca="1" si="0"/>
        <v>70</v>
      </c>
    </row>
    <row r="8" spans="1:11" ht="15" thickBot="1" x14ac:dyDescent="0.35"/>
    <row r="9" spans="1:11" ht="16.8" x14ac:dyDescent="0.3">
      <c r="B9" s="71" t="s">
        <v>58</v>
      </c>
      <c r="C9" s="72"/>
    </row>
    <row r="10" spans="1:11" ht="16.8" x14ac:dyDescent="0.3">
      <c r="B10" s="28" t="s">
        <v>11</v>
      </c>
      <c r="C10" s="29">
        <f ca="1">SUMIF($B$3:$K$3,"Thực tế",$B$7:$K$7)</f>
        <v>454.00000000000006</v>
      </c>
    </row>
    <row r="11" spans="1:11" ht="17.399999999999999" thickBot="1" x14ac:dyDescent="0.35">
      <c r="B11" s="30" t="s">
        <v>55</v>
      </c>
      <c r="C11" s="31">
        <f ca="1">SUMIF($B$3:$K$3,"Ước tính",$B$7:$K$7)</f>
        <v>448</v>
      </c>
    </row>
  </sheetData>
  <mergeCells count="8">
    <mergeCell ref="B9:C9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Huy Phạm Tuấn</cp:lastModifiedBy>
  <dcterms:created xsi:type="dcterms:W3CDTF">2021-04-23T08:05:10Z</dcterms:created>
  <dcterms:modified xsi:type="dcterms:W3CDTF">2025-11-27T11:42:52Z</dcterms:modified>
</cp:coreProperties>
</file>